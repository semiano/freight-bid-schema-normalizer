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waters\Downloads\"/>
    </mc:Choice>
  </mc:AlternateContent>
  <xr:revisionPtr revIDLastSave="0" documentId="8_{0B518481-E01C-44C1-BDD3-9E5EF96F8E4F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Overview" sheetId="1" r:id="rId1"/>
    <sheet name="ReferenceData" sheetId="2" state="hidden" r:id="rId2"/>
    <sheet name="Bid Sheet" sheetId="3" r:id="rId3"/>
  </sheets>
  <definedNames>
    <definedName name="_xlnm._FilterDatabase" localSheetId="2" hidden="1">'Bid Sheet'!$A$9:$Z$330</definedName>
    <definedName name="BID_INPUT_ASSET_BROKER_47c6c907">'Bid Sheet'!$X$12:$X$330</definedName>
    <definedName name="BID_INPUT_BIDDER_MONTHLY_MAXIMUM_CAPACITY_5c7305b9">'Bid Sheet'!$R$12:$R$330</definedName>
    <definedName name="BID_INPUT_CARRIER_NOTES_0142724f">'Bid Sheet'!$Z$12:$Z$330</definedName>
    <definedName name="BID_INPUT_LINEHAUL_COST_DROP_TRAILER_af32aa1e">'Bid Sheet'!$U$12:$U$330</definedName>
    <definedName name="BID_INPUT_LINEHAUL_COST_LIVE_LOAD_f8512053">'Bid Sheet'!$W$12:$W$330</definedName>
    <definedName name="BID_INPUT_TRAFFIC_LIGHT_60b1fce8">'Bid Sheet'!$B$12:$B$330</definedName>
    <definedName name="BID_INPUT_TRANSIT_TIME_IN_DAYS_2d28fb03">'Bid Sheet'!$Y$12:$Y$330</definedName>
    <definedName name="BIDSHEET_VERSION">ReferenceData!$I$1:$I$1</definedName>
    <definedName name="CURRENCY_CAD">ReferenceData!$D$2:$D$2</definedName>
    <definedName name="CURRENCY_CODES">ReferenceData!$C$1:$C$2</definedName>
    <definedName name="CURRENCY_USD">ReferenceData!$D$1:$D$1</definedName>
    <definedName name="GLOBAL_INPUT_DETENTION_HR_AFTER_2_FREE_HOURS_3aa68460">'Bid Sheet'!$E$3:$E$3</definedName>
    <definedName name="GLOBAL_INPUT_DETENTION_HR_AFTER_2_FREE_HOURS_CURRENCY_3aa68460">'Bid Sheet'!$D$3:$D$3</definedName>
    <definedName name="GLOBAL_INPUT_LAYOVER_OCCURRENCE_712ff282">'Bid Sheet'!$E$7:$E$7</definedName>
    <definedName name="GLOBAL_INPUT_LAYOVER_OCCURRENCE_CURRENCY_712ff282">'Bid Sheet'!$D$7:$D$7</definedName>
    <definedName name="GLOBAL_INPUT_LUMPER_OCCURRENCE_c090d7ec">'Bid Sheet'!$E$4:$E$4</definedName>
    <definedName name="GLOBAL_INPUT_LUMPER_OCCURRENCE_CURRENCY_c090d7ec">'Bid Sheet'!$D$4:$D$4</definedName>
    <definedName name="GLOBAL_INPUT_STOP_OFF_CHARGE_STOP_LOCATION_FEE_68c87fb5">'Bid Sheet'!$E$6:$E$6</definedName>
    <definedName name="GLOBAL_INPUT_STOP_OFF_CHARGE_STOP_LOCATION_FEE_CURRENCY_68c87fb5">'Bid Sheet'!$D$6:$D$6</definedName>
    <definedName name="GLOBAL_INPUT_TONU_OCCURRENCE_CURRENCY_ed42e12d">'Bid Sheet'!$D$5:$D$5</definedName>
    <definedName name="GLOBAL_INPUT_TONU_OCCURRENCE_ed42e12d">'Bid Sheet'!$E$5:$E$5</definedName>
    <definedName name="OPTIONS_ASSET_BROKER_47c6c907">ReferenceData!$F$1:$F$2</definedName>
    <definedName name="OPTIONS_CURRENCY_REQUIRED_07aaceaf">ReferenceData!$E$1:$E$2</definedName>
    <definedName name="OPTIONS_TRANSIT_TIME_IN_DAYS_2d28fb03">ReferenceData!$G$1:$G$31</definedName>
    <definedName name="STATIC_AMBIENT_OR_REFRIGERATED_c797d6f0">'Bid Sheet'!$N$12:$N$330</definedName>
    <definedName name="STATIC_CATEGORY_a3c686e7">'Bid Sheet'!$E$12:$E$330</definedName>
    <definedName name="STATIC_COUNTRY_d523ebbd">'Bid Sheet'!$D$12:$D$330</definedName>
    <definedName name="STATIC_CURRENCY_REQUIRED_07aaceaf">'Bid Sheet'!$S$12:$S$330</definedName>
    <definedName name="STATIC_DESTINATION_CITY_10ed4177">'Bid Sheet'!$J$12:$J$330</definedName>
    <definedName name="STATIC_DESTINATION_STATE_8db5bcf7">'Bid Sheet'!$K$12:$K$330</definedName>
    <definedName name="STATIC_DESTINATION_ZIP_CODE_256e1963">'Bid Sheet'!$I$12:$I$330</definedName>
    <definedName name="STATIC_DISTANCE_M_9e41120d">'Bid Sheet'!$L$12:$L$330</definedName>
    <definedName name="STATIC_FORECASTED_VOLUME_2026_2e8fc2f2">'Bid Sheet'!$P$12:$P$330</definedName>
    <definedName name="STATIC_FUEL_ESTIMATE_USD_52da20b1">'Bid Sheet'!$O$12:$O$330</definedName>
    <definedName name="STATIC_KEY_dd65c1b4">'Bid Sheet'!$C$12:$C$330</definedName>
    <definedName name="STATIC_LOADING_DROP_2e8f8eea">'Bid Sheet'!$T$12:$T$330</definedName>
    <definedName name="STATIC_LOADING_LIVE_33af13c2">'Bid Sheet'!$V$12:$V$330</definedName>
    <definedName name="STATIC_MONTHLY_FORECAST_VOLUME_710d40f7">'Bid Sheet'!$Q$12:$Q$330</definedName>
    <definedName name="STATIC_ORIGIN_CITY_f11c71d7">'Bid Sheet'!$G$12:$G$330</definedName>
    <definedName name="STATIC_ORIGIN_STATE_e60af2b7">'Bid Sheet'!$H$12:$H$330</definedName>
    <definedName name="STATIC_ORIGIN_ZIP_f8693c5b">'Bid Sheet'!$F$12:$F$330</definedName>
    <definedName name="STATIC_TRANSPORTATION_MODE_1d2d5bc7">'Bid Sheet'!$M$12:$M$330</definedName>
    <definedName name="VALIDATION_LOT_IDENTIFIER_RANGE">ReferenceData!$A$1:$A$319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0" i="3" l="1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</calcChain>
</file>

<file path=xl/sharedStrings.xml><?xml version="1.0" encoding="utf-8"?>
<sst xmlns="http://schemas.openxmlformats.org/spreadsheetml/2006/main" count="4446" uniqueCount="1049">
  <si>
    <t>Overview</t>
  </si>
  <si>
    <t>Event Name:</t>
  </si>
  <si>
    <t>Flora Food Group - US &amp; CA FTL</t>
  </si>
  <si>
    <t>Description:</t>
  </si>
  <si>
    <t>FTL Freight for US and Canada</t>
  </si>
  <si>
    <t>Welcome message:</t>
  </si>
  <si>
    <t>RFP Scope:</t>
  </si>
  <si>
    <t>Domestic services across the United States and Canada, covering full truckload</t>
  </si>
  <si>
    <t>(FTL), less than truckload (LTL), intermodal and select accessorial services.</t>
  </si>
  <si>
    <t>The RFP includes a diverse portfolio of established lanes across multiple</t>
  </si>
  <si>
    <t>regions, with consistent shipment activity for primary (Inbound), inter-DC (STO)</t>
  </si>
  <si>
    <t>and secondary (Customer Outbound) movement of goods.</t>
  </si>
  <si>
    <t>Our US network is currently consolidating from multiple distribution centers</t>
  </si>
  <si>
    <t>(DCs) to two (2) centralized DCs, with completion expected before mid‑year.</t>
  </si>
  <si>
    <t>Canada network will remain unchanged. At the same time, we are tracking toward</t>
  </si>
  <si>
    <t>full operational readiness of our new Hugoton factory in Kansas. As part of this</t>
  </si>
  <si>
    <t>transition, we will be reassessing our existing lanes and potentially</t>
  </si>
  <si>
    <t>introducing new lanes in the coming months to ensure future rates are aligned</t>
  </si>
  <si>
    <t>with the new network structure.</t>
  </si>
  <si>
    <t>Purpose of this RFP:</t>
  </si>
  <si>
    <t>To identify qualified transportation partners who can support Flora Food Group’s</t>
  </si>
  <si>
    <t>operational needs, provide competitive pricing, deliver high service</t>
  </si>
  <si>
    <t>performance, and contribute to long term value creation across our North America</t>
  </si>
  <si>
    <t>network.</t>
  </si>
  <si>
    <t>RFP Process:</t>
  </si>
  <si>
    <t>This RFP will be conducted using a transportation optimization platform to</t>
  </si>
  <si>
    <t>ensure structured, transparent, and data-driven evaluation process.</t>
  </si>
  <si>
    <t>Key Dates</t>
  </si>
  <si>
    <t>Milestone	Date</t>
  </si>
  <si>
    <t>RFP Release Date	February 18, 2026</t>
  </si>
  <si>
    <t>Proposal Due Date	March 4, 2026</t>
  </si>
  <si>
    <t>Anticipated Award Decision	Early April 2026</t>
  </si>
  <si>
    <t>Contract Effective Date	April 15, 2026</t>
  </si>
  <si>
    <t>Contract Term: 12 months</t>
  </si>
  <si>
    <t>Definitions</t>
  </si>
  <si>
    <t>NEW CENTURY = Manufacturing Plant</t>
  </si>
  <si>
    <t>HUGOTON = Manufacturing Plant</t>
  </si>
  <si>
    <t>FFG US = CJ Logistics DC</t>
  </si>
  <si>
    <t>HAZELTON = US Cold DC</t>
  </si>
  <si>
    <t>FTL_TC = Refrigerated full truck</t>
  </si>
  <si>
    <t>FTL_AMB = Dry full truck</t>
  </si>
  <si>
    <t>LTL_TC= Refrigerated less than truck load</t>
  </si>
  <si>
    <t>LTL_AMB = Dry less than truck load</t>
  </si>
  <si>
    <t>IM_TC = Refrigerated intermodal</t>
  </si>
  <si>
    <t xml:space="preserve">IM_AMB = Dry intermodal </t>
  </si>
  <si>
    <t>Attachments</t>
  </si>
  <si>
    <t xml:space="preserve">(4) Motor Transport Agreements - required for new suppliers. </t>
  </si>
  <si>
    <t>(1) Flora - Cass Program 2026</t>
  </si>
  <si>
    <t>(1) Flora - Breakthrough Fuel Recovery Program 2026</t>
  </si>
  <si>
    <t>Primary Contacts</t>
  </si>
  <si>
    <t>Jaine Balucan</t>
  </si>
  <si>
    <t>Sr. Procurement Manager – North America</t>
  </si>
  <si>
    <t>Email: jaine.balucan@florafg.com</t>
  </si>
  <si>
    <t>Phone: +1(201)458-6896</t>
  </si>
  <si>
    <t>Luis Julio-Martino</t>
  </si>
  <si>
    <t>Head of Logistics – North America</t>
  </si>
  <si>
    <t>Email: luis.julio-martino@florafg.com</t>
  </si>
  <si>
    <t>Phone: +1(437) 329-2919</t>
  </si>
  <si>
    <t>Confidentiality Notice</t>
  </si>
  <si>
    <t>This Request for Proposal and all related documents are confidential and</t>
  </si>
  <si>
    <t>intended solely for invited participants. Distribution or disclosure without</t>
  </si>
  <si>
    <t>written consent from Flora Food Group is strictly prohibited.</t>
  </si>
  <si>
    <t>Details</t>
  </si>
  <si>
    <t>Event contact:</t>
  </si>
  <si>
    <t>Julio Luis-Martino &lt;luis.julio-martino@florafg.com&gt;</t>
  </si>
  <si>
    <t>Currency:</t>
  </si>
  <si>
    <t>USD</t>
  </si>
  <si>
    <t>Current round:</t>
  </si>
  <si>
    <t>Round 2</t>
  </si>
  <si>
    <t>Exchange Rates</t>
  </si>
  <si>
    <t>1 USD =</t>
  </si>
  <si>
    <t>CAD 1.370000</t>
  </si>
  <si>
    <t>Schedule</t>
  </si>
  <si>
    <t>Round 1</t>
  </si>
  <si>
    <t>15:00 EST on February 18, 2026 – 17:00 EST on March 04, 2026</t>
  </si>
  <si>
    <t>10:24 EDT on March 18, 2026 – 17:00 EDT on March 24, 2026</t>
  </si>
  <si>
    <t>Validation Rules</t>
  </si>
  <si>
    <t>Must provide at least one type of pricing, Live Load or Drop Trailer.</t>
  </si>
  <si>
    <t>How to place bids using the Bid Sheet</t>
  </si>
  <si>
    <t>Instructions</t>
  </si>
  <si>
    <t>Step 1: Click on the "Bid Sheet" tab.</t>
  </si>
  <si>
    <t>Step 2: Ensure that all cells in the "Complete Bid" column either show "Yes" or are blank (meaning that you do not intend to bid on that lot).</t>
  </si>
  <si>
    <t>Step 3: Enter bids for each lot that you wish to be awarded.</t>
  </si>
  <si>
    <t>Step 4: Upload the completed file using your browser.</t>
  </si>
  <si>
    <t>Note:</t>
  </si>
  <si>
    <t>Yellow cells can be populated by you. Columns with an asterisk (*) are mandatory.</t>
  </si>
  <si>
    <t>If you wish to be awarded a lot, you must at a minimum complete all related mandatory cells.</t>
  </si>
  <si>
    <t>Do not make changes to any other areas within the spreadsheet. Doing so may prevent the processing of the completed Bid Sheet.</t>
  </si>
  <si>
    <t>Only the Excel .xlsx format can be accepted and processed.</t>
  </si>
  <si>
    <t>Feedback:</t>
  </si>
  <si>
    <t>Feedback cells are only visible if feedback has been enabled for this event. Feedback cells cannot be populated by you.</t>
  </si>
  <si>
    <t>Any visible feedback refers to Round 1.</t>
  </si>
  <si>
    <t>66031_36207_FTL_TC</t>
  </si>
  <si>
    <t>Asset</t>
  </si>
  <si>
    <t>0</t>
  </si>
  <si>
    <t>66031_72830_FTL_TC</t>
  </si>
  <si>
    <t>CAD</t>
  </si>
  <si>
    <t>Broker</t>
  </si>
  <si>
    <t>1</t>
  </si>
  <si>
    <t>18202_21903_FTL_TC</t>
  </si>
  <si>
    <t>2</t>
  </si>
  <si>
    <t>66031_35020_FTL_TC</t>
  </si>
  <si>
    <t>3</t>
  </si>
  <si>
    <t>66031_35217_FTL_TC</t>
  </si>
  <si>
    <t>4</t>
  </si>
  <si>
    <t>66031_35950_FTL_TC</t>
  </si>
  <si>
    <t>5</t>
  </si>
  <si>
    <t>66031_36010_FTL_TC</t>
  </si>
  <si>
    <t>6</t>
  </si>
  <si>
    <t>66031_36105_FTL_TC</t>
  </si>
  <si>
    <t>7</t>
  </si>
  <si>
    <t>66031_36801_FTL_TC</t>
  </si>
  <si>
    <t>8</t>
  </si>
  <si>
    <t>66031_72117_FTL_TC</t>
  </si>
  <si>
    <t>9</t>
  </si>
  <si>
    <t>66031_85043_FTL_TC</t>
  </si>
  <si>
    <t>10</t>
  </si>
  <si>
    <t>66031_85193_FTL_TC</t>
  </si>
  <si>
    <t>11</t>
  </si>
  <si>
    <t>66031_85226_FTL_TC</t>
  </si>
  <si>
    <t>12</t>
  </si>
  <si>
    <t>66031_85353_FTL_TC</t>
  </si>
  <si>
    <t>13</t>
  </si>
  <si>
    <t>66031_90670_FTL_TC</t>
  </si>
  <si>
    <t>14</t>
  </si>
  <si>
    <t>66031_90670_IM_TC</t>
  </si>
  <si>
    <t>15</t>
  </si>
  <si>
    <t>66031_91730_FTL_TC</t>
  </si>
  <si>
    <t>16</t>
  </si>
  <si>
    <t>66031_91752_FTL_TC</t>
  </si>
  <si>
    <t>17</t>
  </si>
  <si>
    <t>66031_91752_IM_TC</t>
  </si>
  <si>
    <t>18</t>
  </si>
  <si>
    <t>66031_92324_FTL_TC</t>
  </si>
  <si>
    <t>19</t>
  </si>
  <si>
    <t>66031_92324_IM_TC</t>
  </si>
  <si>
    <t>20</t>
  </si>
  <si>
    <t>66031_92507_FTL_TC</t>
  </si>
  <si>
    <t>21</t>
  </si>
  <si>
    <t>66031_92507_IM_TC</t>
  </si>
  <si>
    <t>22</t>
  </si>
  <si>
    <t>66031_92555_FTL_TC</t>
  </si>
  <si>
    <t>23</t>
  </si>
  <si>
    <t>66031_92555_IM_TC</t>
  </si>
  <si>
    <t>24</t>
  </si>
  <si>
    <t>66031_92801_FTL_TC</t>
  </si>
  <si>
    <t>25</t>
  </si>
  <si>
    <t>66031_92801_IM_TC</t>
  </si>
  <si>
    <t>26</t>
  </si>
  <si>
    <t>66031_93263_FTL_TC</t>
  </si>
  <si>
    <t>27</t>
  </si>
  <si>
    <t>66031_93263_IM_TC</t>
  </si>
  <si>
    <t>28</t>
  </si>
  <si>
    <t>66031_95206_FTL_TC</t>
  </si>
  <si>
    <t>29</t>
  </si>
  <si>
    <t>66031_95206_IM_TC</t>
  </si>
  <si>
    <t>30</t>
  </si>
  <si>
    <t>66031_95215_FTL_TC</t>
  </si>
  <si>
    <t>66031_95215_IM_TC</t>
  </si>
  <si>
    <t>66031_95358_FTL_TC</t>
  </si>
  <si>
    <t>66031_95358_IM_TC</t>
  </si>
  <si>
    <t>66031_95377_FTL_TC</t>
  </si>
  <si>
    <t>66031_95377_IM_TC</t>
  </si>
  <si>
    <t>66031_95691_FTL_TC</t>
  </si>
  <si>
    <t>66031_95691_IM_TC</t>
  </si>
  <si>
    <t>66031_95834_FTL_TC</t>
  </si>
  <si>
    <t>66031_95834_IM_TC</t>
  </si>
  <si>
    <t>66031_95835_FTL_TC</t>
  </si>
  <si>
    <t>66031_95835_IM_TC</t>
  </si>
  <si>
    <t>66031_92376_FTL_TC</t>
  </si>
  <si>
    <t>66031_92376_IM_TC</t>
  </si>
  <si>
    <t>66031_92408_FTL_TC</t>
  </si>
  <si>
    <t>66031_92408_IM_TC</t>
  </si>
  <si>
    <t>66031_92508_FTL_TC</t>
  </si>
  <si>
    <t>66031_92508_IM_TC</t>
  </si>
  <si>
    <t>66031_95354_FTL_TC</t>
  </si>
  <si>
    <t>66031_95354_IM_TC</t>
  </si>
  <si>
    <t>66031_80216_FTL_TC</t>
  </si>
  <si>
    <t>18202_06067_FTL_TC</t>
  </si>
  <si>
    <t>18202_06074_FTL_TC</t>
  </si>
  <si>
    <t>18202_06095_FTL_TC</t>
  </si>
  <si>
    <t>18202_32505_FTL_TC</t>
  </si>
  <si>
    <t>18202_32824_FTL_TC</t>
  </si>
  <si>
    <t>18202_33881_FTL_TC</t>
  </si>
  <si>
    <t>66031_32055_FTL_TC</t>
  </si>
  <si>
    <t>66031_32063_FTL_TC</t>
  </si>
  <si>
    <t>66031_32220_FTL_TC</t>
  </si>
  <si>
    <t>66031_32234_FTL_TC</t>
  </si>
  <si>
    <t>66031_32809_FTL_TC</t>
  </si>
  <si>
    <t>66031_32822_FTL_TC</t>
  </si>
  <si>
    <t>66031_32922_FTL_TC</t>
  </si>
  <si>
    <t>66031_33014_FTL_TC</t>
  </si>
  <si>
    <t>66031_33069_FTL_TC</t>
  </si>
  <si>
    <t>66031_33122_FTL_TC</t>
  </si>
  <si>
    <t>66031_33142_FTL_TC</t>
  </si>
  <si>
    <t>66031_33166_FTL_TC</t>
  </si>
  <si>
    <t>66031_33167_FTL_TC</t>
  </si>
  <si>
    <t>66031_33178_FTL_TC</t>
  </si>
  <si>
    <t>66031_33179_FTL_TC</t>
  </si>
  <si>
    <t>66031_33407_FTL_TC</t>
  </si>
  <si>
    <t>66031_33411_FTL_TC</t>
  </si>
  <si>
    <t>66031_33442_FTL_TC</t>
  </si>
  <si>
    <t>66031_33566_FTL_TC</t>
  </si>
  <si>
    <t>66031_33815_FTL_TC</t>
  </si>
  <si>
    <t>66031_33844_FTL_TC</t>
  </si>
  <si>
    <t>66031_33881_FTL_TC</t>
  </si>
  <si>
    <t>66031_34269_FTL_TC</t>
  </si>
  <si>
    <t>18202_30549_FTL_TC</t>
  </si>
  <si>
    <t>66031_30549_FTL_TC</t>
  </si>
  <si>
    <t>18202_30316_FTL_TC</t>
  </si>
  <si>
    <t>66031_30019_FTL_TC</t>
  </si>
  <si>
    <t>66031_30336_FTL_TC</t>
  </si>
  <si>
    <t>66031_30656_FTL_TC</t>
  </si>
  <si>
    <t>66031_31820_FTL_TC</t>
  </si>
  <si>
    <t>66031_50613_FTL_TC</t>
  </si>
  <si>
    <t>66031_83716_FTL_TC</t>
  </si>
  <si>
    <t>66031_60160_FTL_TC</t>
  </si>
  <si>
    <t>66031_60420_FTL_TC</t>
  </si>
  <si>
    <t>66031_60510_FTL_TC</t>
  </si>
  <si>
    <t>66031_61081_FTL_TC</t>
  </si>
  <si>
    <t>66031_61801_FTL_TC</t>
  </si>
  <si>
    <t>66031_62450_FTL_TC</t>
  </si>
  <si>
    <t>66031_46142_FTL_TC</t>
  </si>
  <si>
    <t>66031_46176_FTL_TC</t>
  </si>
  <si>
    <t>66031_46383_FTL_TC</t>
  </si>
  <si>
    <t>66031_46391_FTL_TC</t>
  </si>
  <si>
    <t>66031_46203_FTL_TC</t>
  </si>
  <si>
    <t>66031_46706_FTL_TC</t>
  </si>
  <si>
    <t>66031_46933_FTL_TC</t>
  </si>
  <si>
    <t>66031_47396_FTL_TC</t>
  </si>
  <si>
    <t>66031_66061_FTL_TC</t>
  </si>
  <si>
    <t>18202_41051_FTL_TC</t>
  </si>
  <si>
    <t>66031_40391_FTL_TC</t>
  </si>
  <si>
    <t>66031_40741_FTL_TC</t>
  </si>
  <si>
    <t>66031_42101_FTL_TC</t>
  </si>
  <si>
    <t>66031_70401_FTL_TC</t>
  </si>
  <si>
    <t>66031_70455_FTL_TC</t>
  </si>
  <si>
    <t>66031_70810_FTL_TC</t>
  </si>
  <si>
    <t>18202_01810_FTL_TC</t>
  </si>
  <si>
    <t>18202_01844_FTL_TC</t>
  </si>
  <si>
    <t>18202_02702_FTL_TC</t>
  </si>
  <si>
    <t>66031_01038_FTL_TC</t>
  </si>
  <si>
    <t>18202_20794_FTL_TC</t>
  </si>
  <si>
    <t>18202_20774_FTL_TC</t>
  </si>
  <si>
    <t>18202_21701_FTL_TC</t>
  </si>
  <si>
    <t>18202_21770_FTL_TC</t>
  </si>
  <si>
    <t>18202_21795_FTL_TC</t>
  </si>
  <si>
    <t>18202_21901_FTL_TC</t>
  </si>
  <si>
    <t>18202_04106_FTL_TC</t>
  </si>
  <si>
    <t>18202_04240_FTL_TC</t>
  </si>
  <si>
    <t>66031_48166_FTL_TC</t>
  </si>
  <si>
    <t>66031_48892_FTL_TC</t>
  </si>
  <si>
    <t>66031_48917_FTL_TC</t>
  </si>
  <si>
    <t>66031_49315_FTL_TC</t>
  </si>
  <si>
    <t>66031_55021_FTL_TC</t>
  </si>
  <si>
    <t>66031_55343_FTL_TC</t>
  </si>
  <si>
    <t>66031_56001_FTL_TC</t>
  </si>
  <si>
    <t>66031_63134_FTL_TC</t>
  </si>
  <si>
    <t>66031_63140_FTL_TC</t>
  </si>
  <si>
    <t>66031_63366_FTL_TC</t>
  </si>
  <si>
    <t>66031_64701_FTL_TC</t>
  </si>
  <si>
    <t>66031_65270_FTL_TC</t>
  </si>
  <si>
    <t>66031_38652_FTL_TC</t>
  </si>
  <si>
    <t>18202_27302_FTL_TC</t>
  </si>
  <si>
    <t>18202_27520_FTL_TC</t>
  </si>
  <si>
    <t>18202_27537_FTL_TC</t>
  </si>
  <si>
    <t>18202_28601_FTL_TC</t>
  </si>
  <si>
    <t>66031_27537_FTL_TC</t>
  </si>
  <si>
    <t>66031_27301_FTL_TC</t>
  </si>
  <si>
    <t>66031_28144_FTL_TC</t>
  </si>
  <si>
    <t>66031_28334_FTL_TC</t>
  </si>
  <si>
    <t>66031_28711_FTL_TC</t>
  </si>
  <si>
    <t>66031_58103_FTL_TC</t>
  </si>
  <si>
    <t>66031_68008_FTL_TC</t>
  </si>
  <si>
    <t>66031_68127_FTL_TC</t>
  </si>
  <si>
    <t>66031_69101_FTL_TC</t>
  </si>
  <si>
    <t>18202_07072_FTL_TC</t>
  </si>
  <si>
    <t>18202_08831_FTL_TC</t>
  </si>
  <si>
    <t>66031_07080_FTL_TC</t>
  </si>
  <si>
    <t>66031_87031_FTL_TC</t>
  </si>
  <si>
    <t>66031_89165_FTL_TC</t>
  </si>
  <si>
    <t>66031_89434_FTL_TC</t>
  </si>
  <si>
    <t>18202_10918_FTL_TC</t>
  </si>
  <si>
    <t>18202_11378_FTL_TC</t>
  </si>
  <si>
    <t>18202_12095_FTL_TC</t>
  </si>
  <si>
    <t>18202_12156_FTL_TC</t>
  </si>
  <si>
    <t>18202_12306_FTL_TC</t>
  </si>
  <si>
    <t>18202_13159_FTL_TC</t>
  </si>
  <si>
    <t>18202_13748_FTL_TC</t>
  </si>
  <si>
    <t>18202_14086_FTL_TC</t>
  </si>
  <si>
    <t>18202_14624_FTL_TC</t>
  </si>
  <si>
    <t>66031_13748_FTL_TC</t>
  </si>
  <si>
    <t>66031_44233_FTL_TC</t>
  </si>
  <si>
    <t>66031_43015_FTL_TC</t>
  </si>
  <si>
    <t>66031_43160_FTL_TC</t>
  </si>
  <si>
    <t>66031_43162_FTL_TC</t>
  </si>
  <si>
    <t>66031_43701_FTL_TC</t>
  </si>
  <si>
    <t>66031_43952_FTL_TC</t>
  </si>
  <si>
    <t>66031_44010_FTL_TC</t>
  </si>
  <si>
    <t>66031_44137_FTL_TC</t>
  </si>
  <si>
    <t>66031_44146_FTL_TC</t>
  </si>
  <si>
    <t>66031_45371_FTL_TC</t>
  </si>
  <si>
    <t>66031_45502_FTL_TC</t>
  </si>
  <si>
    <t>66031_45801_FTL_TC</t>
  </si>
  <si>
    <t>66031_73075_FTL_TC</t>
  </si>
  <si>
    <t>66031_73401_FTL_TC</t>
  </si>
  <si>
    <t>66031_74051_FTL_TC</t>
  </si>
  <si>
    <t>66031_97071_FTL_TC</t>
  </si>
  <si>
    <t>66031_97230_FTL_TC</t>
  </si>
  <si>
    <t>18202_16056_FTL_TC</t>
  </si>
  <si>
    <t>18202_18034_FTL_TC</t>
  </si>
  <si>
    <t>66031_15205_FTL_TC</t>
  </si>
  <si>
    <t>66031_15672_FTL_TC</t>
  </si>
  <si>
    <t>66031_17901_FTL_TC</t>
  </si>
  <si>
    <t>18202_15522_FTL_TC</t>
  </si>
  <si>
    <t>18202_17110_FTL_TC</t>
  </si>
  <si>
    <t>18202_17225_FTL_TC</t>
  </si>
  <si>
    <t>18202_17901_FTL_TC</t>
  </si>
  <si>
    <t>18202_18078_FTL_TC</t>
  </si>
  <si>
    <t>66031_15522_FTL_TC</t>
  </si>
  <si>
    <t>66031_29047_FTL_TC</t>
  </si>
  <si>
    <t>66031_29385_FTL_TC</t>
  </si>
  <si>
    <t>66031_29607_FTL_TC</t>
  </si>
  <si>
    <t>66031_29728_FTL_TC</t>
  </si>
  <si>
    <t>18202_29591_FTL_TC</t>
  </si>
  <si>
    <t>66031_37122_FTL_TC</t>
  </si>
  <si>
    <t>66031_37160_FTL_TC</t>
  </si>
  <si>
    <t>66031_75146_FTL_TC</t>
  </si>
  <si>
    <t>66031_75160_FTL_TC</t>
  </si>
  <si>
    <t>66031_75701_FTL_TC</t>
  </si>
  <si>
    <t>66031_75902_FTL_TC</t>
  </si>
  <si>
    <t>66031_76033_FTL_TC</t>
  </si>
  <si>
    <t>66031_76207_FTL_TC</t>
  </si>
  <si>
    <t>66031_76262_FTL_TC</t>
  </si>
  <si>
    <t>66031_77021_FTL_TC</t>
  </si>
  <si>
    <t>66031_77080_FTL_TC</t>
  </si>
  <si>
    <t>66031_77357_FTL_TC</t>
  </si>
  <si>
    <t>66031_77471_FTL_TC</t>
  </si>
  <si>
    <t>66031_78218_FTL_TC</t>
  </si>
  <si>
    <t>66031_79120_FTL_TC</t>
  </si>
  <si>
    <t>66031_79404_FTL_TC</t>
  </si>
  <si>
    <t>66031_79927_FTL_TC</t>
  </si>
  <si>
    <t>66031_84054_FTL_TC</t>
  </si>
  <si>
    <t>66031_84307_FTL_TC</t>
  </si>
  <si>
    <t>66031_84404_FTL_TC</t>
  </si>
  <si>
    <t>18202_23005_FTL_TC</t>
  </si>
  <si>
    <t>66031_24210_FTL_TC</t>
  </si>
  <si>
    <t>18202_22407_FTL_TC</t>
  </si>
  <si>
    <t>18202_22942_FTL_TC</t>
  </si>
  <si>
    <t>18202_23116_FTL_TC</t>
  </si>
  <si>
    <t>18202_23842_FTL_TC</t>
  </si>
  <si>
    <t>18202_24605_FTL_TC</t>
  </si>
  <si>
    <t>66031_98371_FTL_TC</t>
  </si>
  <si>
    <t>66031_98531_IM_TC</t>
  </si>
  <si>
    <t>66031_98930_FTL_TC</t>
  </si>
  <si>
    <t>66031_98930_IM_TC</t>
  </si>
  <si>
    <t>66031_99207_FTL_TC</t>
  </si>
  <si>
    <t>66031_99207_IM_TC</t>
  </si>
  <si>
    <t>66031_99217_FTL_TC</t>
  </si>
  <si>
    <t>66031_99217_IM_TC</t>
  </si>
  <si>
    <t>66031_53154_FTL_TC</t>
  </si>
  <si>
    <t>66031_53158_FTL_TC</t>
  </si>
  <si>
    <t>66031_53222_FTL_TC</t>
  </si>
  <si>
    <t>66031_53511_FTL_TC</t>
  </si>
  <si>
    <t>66031_53711_FTL_TC</t>
  </si>
  <si>
    <t>66031_54304_FTL_TC</t>
  </si>
  <si>
    <t>66031_54660_FTL_TC</t>
  </si>
  <si>
    <t>66031_82007_FTL_TC</t>
  </si>
  <si>
    <t>66031_82009_FTL_TC</t>
  </si>
  <si>
    <t>52240_66031_FTL_AMB</t>
  </si>
  <si>
    <t>52240_66031_FTL_TC</t>
  </si>
  <si>
    <t>60124_66031_FTL_AMB</t>
  </si>
  <si>
    <t>08110_66031_FTL_TC</t>
  </si>
  <si>
    <t>64141_66031_FTL_TC</t>
  </si>
  <si>
    <t>64141_66031_FTL_AMB</t>
  </si>
  <si>
    <t>66031_66031_FTL_AMB</t>
  </si>
  <si>
    <t>08536_66031_FTL_AMB</t>
  </si>
  <si>
    <t>08536_66031_FTL_TC</t>
  </si>
  <si>
    <t>63147_66031_FTL_TC</t>
  </si>
  <si>
    <t>63147_66031_FTL_AMB</t>
  </si>
  <si>
    <t>68124_66031_FTL_TC</t>
  </si>
  <si>
    <t>68124_66031_FTL_AMB</t>
  </si>
  <si>
    <t>45216_66031_FTL_TC</t>
  </si>
  <si>
    <t>45216_66031_FTL_AMB</t>
  </si>
  <si>
    <t>07936_66031_FTL_TC</t>
  </si>
  <si>
    <t>41048_66031_FTL_AMB</t>
  </si>
  <si>
    <t>41048_66031_FTL_TC</t>
  </si>
  <si>
    <t>21224_66031_FTL_AMB</t>
  </si>
  <si>
    <t>21224_66031_FTL_TC</t>
  </si>
  <si>
    <t>51031_66031_FTL_AMB</t>
  </si>
  <si>
    <t>51031_66031_FTL_TC</t>
  </si>
  <si>
    <t>J0V 2B0_66031_FTL_AMB</t>
  </si>
  <si>
    <t>J0V 2B0_66031_FTL_TC</t>
  </si>
  <si>
    <t>68137_66031_FTL_AMB</t>
  </si>
  <si>
    <t>68137_66031_FTL_TC</t>
  </si>
  <si>
    <t>17042_66031_FTL_AMB</t>
  </si>
  <si>
    <t>17042_66031_FTL_TC</t>
  </si>
  <si>
    <t>17042_66031_IM_AMB</t>
  </si>
  <si>
    <t>17042_66031_IM_TC</t>
  </si>
  <si>
    <t>18202_33147_FTL_TC</t>
  </si>
  <si>
    <t>18202_66031_FTL_TC</t>
  </si>
  <si>
    <t>18202_66031_IM_TC</t>
  </si>
  <si>
    <t>66024_66031_FTL_TC</t>
  </si>
  <si>
    <t>66031_66024_FTL_TC</t>
  </si>
  <si>
    <t>67951_66031_FTL_TC</t>
  </si>
  <si>
    <t>66031_N3V 0A6_FTL_TC</t>
  </si>
  <si>
    <t>66031_18202_FTL_TC</t>
  </si>
  <si>
    <t>66024_18202_FTL_TC</t>
  </si>
  <si>
    <t>66031_18202_IM_TC</t>
  </si>
  <si>
    <t>67951_18202_FTL_TC</t>
  </si>
  <si>
    <t>66031_78045_FTL_TC</t>
  </si>
  <si>
    <t>N3V 0A6_T4A 0E2_IM_TC</t>
  </si>
  <si>
    <t>N3V 0A6_V3Z 1J2_IM_TC</t>
  </si>
  <si>
    <t>N3V 0A6_E1E 1C8_FTL_TC</t>
  </si>
  <si>
    <t>N3V 0A6_E1H 3S5_FTL_TC</t>
  </si>
  <si>
    <t>N3V 0A6_A0A 1G0_IM_TC</t>
  </si>
  <si>
    <t>N3V 0A6_A1B 4G3_IM_TC</t>
  </si>
  <si>
    <t>N3V 0A6_K6H 7M4_FTL_TC</t>
  </si>
  <si>
    <t>N3V 0A6_K6V 5V7_FTL_TC</t>
  </si>
  <si>
    <t>N3V 0A6_L0G 1V0_FTL_TC</t>
  </si>
  <si>
    <t>N3V 0A6_L4L 1A5_FTL_TC</t>
  </si>
  <si>
    <t>N3V 0A6_L4L 1A7_FTL_TC</t>
  </si>
  <si>
    <t>N3V 0A6_L5N 5M9_FTL_TC</t>
  </si>
  <si>
    <t>N3V 0A6_M9B 1C1_FTL_TC</t>
  </si>
  <si>
    <t>N3V 0A6_M9L 1V8_FTL_TC</t>
  </si>
  <si>
    <t>N3V 0A6_N3T 6H2_FTL_TC</t>
  </si>
  <si>
    <t>N3V 0A6_N5C 3J8_FTL_TC</t>
  </si>
  <si>
    <t>N3V 0A6_H4P 0A1_FTL_TC</t>
  </si>
  <si>
    <t>N3V 0A6_J3X 1P7_FTL_TC</t>
  </si>
  <si>
    <t>N3V 0A6_J6Y 0J5_FTL_TC</t>
  </si>
  <si>
    <t>T5L 3H3_N3V 0A6_FTL_AMB</t>
  </si>
  <si>
    <t>L6H 6X5_N3V 0A6_FTL_TC</t>
  </si>
  <si>
    <t>G9A 5E1_N3V 0A6_FTL_TC</t>
  </si>
  <si>
    <t>8611_N3V 0A6_FTL_AMB</t>
  </si>
  <si>
    <t>8110_N3V 0A6_FTL_AMB</t>
  </si>
  <si>
    <t>50036_N3V 0A6_FTL_AMB</t>
  </si>
  <si>
    <t>N3V 0A6_66031_FTL_TC</t>
  </si>
  <si>
    <t>N3R 7J1  _66031_FTL_TC</t>
  </si>
  <si>
    <t>N3V 0A6_18202_FTL_TC</t>
  </si>
  <si>
    <t>N3R 7J1  _18202_FTL_TC</t>
  </si>
  <si>
    <t>18202_32055_FTL_TC</t>
  </si>
  <si>
    <t>18202_32809_FTL_TC</t>
  </si>
  <si>
    <t>18202_33122_FTL_TC</t>
  </si>
  <si>
    <t>18202_33142_FTL_TC</t>
  </si>
  <si>
    <t>18202_33411_FTL_TC</t>
  </si>
  <si>
    <t>Bid Sheet</t>
  </si>
  <si>
    <t>Detention: $/hr; after 2 free hours*</t>
  </si>
  <si>
    <t>Waiting time after free time</t>
  </si>
  <si>
    <t>Lumper: $/occurrence*</t>
  </si>
  <si>
    <t>3rd party unloading charge</t>
  </si>
  <si>
    <t>TONU: $/occurrence*</t>
  </si>
  <si>
    <t>Truck ordered not used</t>
  </si>
  <si>
    <t>Stop-Off Charge: $/stop (location fee)*</t>
  </si>
  <si>
    <t>Additional Delivery Stop</t>
  </si>
  <si>
    <t>Layover: $/occurrence*</t>
  </si>
  <si>
    <t>Trailer held overnight</t>
  </si>
  <si>
    <t>Complete Bid</t>
  </si>
  <si>
    <t>Traffic Light</t>
  </si>
  <si>
    <t>KEY</t>
  </si>
  <si>
    <t>Country</t>
  </si>
  <si>
    <t>Category</t>
  </si>
  <si>
    <t>Origin Zip</t>
  </si>
  <si>
    <t>Origin City</t>
  </si>
  <si>
    <t>Origin State</t>
  </si>
  <si>
    <t>Destination Zip Code</t>
  </si>
  <si>
    <t>Destination City</t>
  </si>
  <si>
    <t>Destination State</t>
  </si>
  <si>
    <t>Distance (M)</t>
  </si>
  <si>
    <t>Transportation Mode</t>
  </si>
  <si>
    <t>Ambient or Refrigerated</t>
  </si>
  <si>
    <t>Fuel Estimate (USD) (USD)</t>
  </si>
  <si>
    <t>Forecasted Volume 2026</t>
  </si>
  <si>
    <t>Monthly Forecast Volume</t>
  </si>
  <si>
    <t>Bidder Monthly Maximum Capacity*</t>
  </si>
  <si>
    <t>Currency Required (Currency)</t>
  </si>
  <si>
    <t>Loading Drop</t>
  </si>
  <si>
    <t>Linehaul Cost - Drop Trailer</t>
  </si>
  <si>
    <t>Loading Live</t>
  </si>
  <si>
    <t>Linehaul Cost - Live Load</t>
  </si>
  <si>
    <t>Asset/Broker*</t>
  </si>
  <si>
    <t>Transit Time in Days</t>
  </si>
  <si>
    <t>Carrier Notes</t>
  </si>
  <si>
    <t>Currency Required</t>
  </si>
  <si>
    <t>Green Light = 0-5% from Target. 
Yellow Light = 5-10% from Target. 
Red Light = 10%+ from Target.</t>
  </si>
  <si>
    <t>This number will be measured against the "Monthly Forecast Volume".</t>
  </si>
  <si>
    <t>You must provide your bid for each lane in the currency shown here.</t>
  </si>
  <si>
    <t>If this column says "Must", then you have to at least provide Drop Trailer pricing.</t>
  </si>
  <si>
    <t>If this column says "Must", then you have to at least provide Live Load pricing.</t>
  </si>
  <si>
    <t>US</t>
  </si>
  <si>
    <t>Customer Outbound</t>
  </si>
  <si>
    <t>66031</t>
  </si>
  <si>
    <t>NEW CENTURY</t>
  </si>
  <si>
    <t>KS</t>
  </si>
  <si>
    <t>36207</t>
  </si>
  <si>
    <t>ANNISTON</t>
  </si>
  <si>
    <t>AL</t>
  </si>
  <si>
    <t>FTL_TC</t>
  </si>
  <si>
    <t>Refrigerated</t>
  </si>
  <si>
    <t>72830</t>
  </si>
  <si>
    <t>CLARKSVILLE</t>
  </si>
  <si>
    <t>AR</t>
  </si>
  <si>
    <t>Must</t>
  </si>
  <si>
    <t>18202</t>
  </si>
  <si>
    <t>HAZLETON</t>
  </si>
  <si>
    <t>PA</t>
  </si>
  <si>
    <t>21903</t>
  </si>
  <si>
    <t>PERRYVILLE</t>
  </si>
  <si>
    <t>MD</t>
  </si>
  <si>
    <t>35020</t>
  </si>
  <si>
    <t>BESSEMER</t>
  </si>
  <si>
    <t>35217</t>
  </si>
  <si>
    <t>BIRMINGHAM</t>
  </si>
  <si>
    <t>35950</t>
  </si>
  <si>
    <t>ALBERTVILLE</t>
  </si>
  <si>
    <t>36010</t>
  </si>
  <si>
    <t>BRUNDIDGE</t>
  </si>
  <si>
    <t>36105</t>
  </si>
  <si>
    <t>MONTGOMERY</t>
  </si>
  <si>
    <t>36801</t>
  </si>
  <si>
    <t>OPELIKA</t>
  </si>
  <si>
    <t>72117</t>
  </si>
  <si>
    <t>NORTH LITTLE ROCK</t>
  </si>
  <si>
    <t>85043</t>
  </si>
  <si>
    <t>PHOENIX</t>
  </si>
  <si>
    <t>AZ</t>
  </si>
  <si>
    <t>85193</t>
  </si>
  <si>
    <t>CASA GRANDE</t>
  </si>
  <si>
    <t>85226</t>
  </si>
  <si>
    <t>CHANDLER</t>
  </si>
  <si>
    <t>85353</t>
  </si>
  <si>
    <t>TOLLESON</t>
  </si>
  <si>
    <t>90670</t>
  </si>
  <si>
    <t>SANTA FE SPRINGS</t>
  </si>
  <si>
    <t>CA</t>
  </si>
  <si>
    <t>IM_TC</t>
  </si>
  <si>
    <t>91730</t>
  </si>
  <si>
    <t>RANCHO CUCAMONGA</t>
  </si>
  <si>
    <t>91752</t>
  </si>
  <si>
    <t>MIRA LOMA</t>
  </si>
  <si>
    <t>92324</t>
  </si>
  <si>
    <t>COLTON</t>
  </si>
  <si>
    <t>92507</t>
  </si>
  <si>
    <t>RIVERSIDE</t>
  </si>
  <si>
    <t>92555</t>
  </si>
  <si>
    <t>MORENO VALLEY</t>
  </si>
  <si>
    <t>92801</t>
  </si>
  <si>
    <t>ANAHEIM</t>
  </si>
  <si>
    <t>93263</t>
  </si>
  <si>
    <t>SHAFTER</t>
  </si>
  <si>
    <t>95206</t>
  </si>
  <si>
    <t>STOCKTON</t>
  </si>
  <si>
    <t>95215</t>
  </si>
  <si>
    <t>95358</t>
  </si>
  <si>
    <t>MODESTO</t>
  </si>
  <si>
    <t>95377</t>
  </si>
  <si>
    <t>TRACY</t>
  </si>
  <si>
    <t>95691</t>
  </si>
  <si>
    <t>WEST SACRAMENTO</t>
  </si>
  <si>
    <t>95834</t>
  </si>
  <si>
    <t>SACRAMENTO</t>
  </si>
  <si>
    <t>95835</t>
  </si>
  <si>
    <t>92376</t>
  </si>
  <si>
    <t>RIALTO</t>
  </si>
  <si>
    <t>92408</t>
  </si>
  <si>
    <t>SAN BERNARDINO</t>
  </si>
  <si>
    <t>92508</t>
  </si>
  <si>
    <t>95354</t>
  </si>
  <si>
    <t>80216</t>
  </si>
  <si>
    <t>DENVER</t>
  </si>
  <si>
    <t>CO</t>
  </si>
  <si>
    <t>06067</t>
  </si>
  <si>
    <t>ROCKY HILL</t>
  </si>
  <si>
    <t>CT</t>
  </si>
  <si>
    <t>06074</t>
  </si>
  <si>
    <t>SOUTH WINDSOR</t>
  </si>
  <si>
    <t>06095</t>
  </si>
  <si>
    <t>WINDSOR</t>
  </si>
  <si>
    <t>32505</t>
  </si>
  <si>
    <t>PENSACOLA</t>
  </si>
  <si>
    <t>FL</t>
  </si>
  <si>
    <t>32824</t>
  </si>
  <si>
    <t>ORLANDO</t>
  </si>
  <si>
    <t>33881</t>
  </si>
  <si>
    <t>WINTER HAVEN</t>
  </si>
  <si>
    <t>32055</t>
  </si>
  <si>
    <t>LAKE CITY</t>
  </si>
  <si>
    <t>32063</t>
  </si>
  <si>
    <t>MACCLENNY</t>
  </si>
  <si>
    <t>32220</t>
  </si>
  <si>
    <t>JACKSONVILLE</t>
  </si>
  <si>
    <t>32234</t>
  </si>
  <si>
    <t>32809</t>
  </si>
  <si>
    <t>32822</t>
  </si>
  <si>
    <t>32922</t>
  </si>
  <si>
    <t>COCOA</t>
  </si>
  <si>
    <t>33014</t>
  </si>
  <si>
    <t>HIALEAH</t>
  </si>
  <si>
    <t>33069</t>
  </si>
  <si>
    <t>POMPANO BEACH</t>
  </si>
  <si>
    <t>33122</t>
  </si>
  <si>
    <t>MIAMI</t>
  </si>
  <si>
    <t>33142</t>
  </si>
  <si>
    <t>33166</t>
  </si>
  <si>
    <t>33167</t>
  </si>
  <si>
    <t>33178</t>
  </si>
  <si>
    <t>33179</t>
  </si>
  <si>
    <t>33407</t>
  </si>
  <si>
    <t>WEST PALM BEACH</t>
  </si>
  <si>
    <t>33411</t>
  </si>
  <si>
    <t>33442</t>
  </si>
  <si>
    <t>DEERFIELD BEACH</t>
  </si>
  <si>
    <t>33566</t>
  </si>
  <si>
    <t>PLANT CITY</t>
  </si>
  <si>
    <t>33815</t>
  </si>
  <si>
    <t>LAKELAND</t>
  </si>
  <si>
    <t>33844</t>
  </si>
  <si>
    <t>HAINES CITY</t>
  </si>
  <si>
    <t>34269</t>
  </si>
  <si>
    <t>ARCADIA</t>
  </si>
  <si>
    <t>30549</t>
  </si>
  <si>
    <t>JEFFERSON</t>
  </si>
  <si>
    <t>GA</t>
  </si>
  <si>
    <t>30316</t>
  </si>
  <si>
    <t>ATLANTA</t>
  </si>
  <si>
    <t>30019</t>
  </si>
  <si>
    <t>DACULA</t>
  </si>
  <si>
    <t>30336</t>
  </si>
  <si>
    <t>30656</t>
  </si>
  <si>
    <t>MONROE</t>
  </si>
  <si>
    <t>31820</t>
  </si>
  <si>
    <t>MIDLAND</t>
  </si>
  <si>
    <t>50613</t>
  </si>
  <si>
    <t>CEDAR FALLS</t>
  </si>
  <si>
    <t>IA</t>
  </si>
  <si>
    <t>83716</t>
  </si>
  <si>
    <t>BOISE</t>
  </si>
  <si>
    <t>ID</t>
  </si>
  <si>
    <t>60160</t>
  </si>
  <si>
    <t>MELROSE PARK</t>
  </si>
  <si>
    <t>IL</t>
  </si>
  <si>
    <t>60420</t>
  </si>
  <si>
    <t>DWIGHT</t>
  </si>
  <si>
    <t>60510</t>
  </si>
  <si>
    <t>BATAVIA</t>
  </si>
  <si>
    <t>61081</t>
  </si>
  <si>
    <t>STERLING</t>
  </si>
  <si>
    <t>61801</t>
  </si>
  <si>
    <t>URBANA</t>
  </si>
  <si>
    <t>62450</t>
  </si>
  <si>
    <t>OLNEY</t>
  </si>
  <si>
    <t>46142</t>
  </si>
  <si>
    <t>GREENWOOD</t>
  </si>
  <si>
    <t>IN</t>
  </si>
  <si>
    <t>46176</t>
  </si>
  <si>
    <t>SHELBYVILLE</t>
  </si>
  <si>
    <t>46383</t>
  </si>
  <si>
    <t>VALPARAISO</t>
  </si>
  <si>
    <t>46391</t>
  </si>
  <si>
    <t>WESTVILLE</t>
  </si>
  <si>
    <t>46203</t>
  </si>
  <si>
    <t>INDIANAPOLIS</t>
  </si>
  <si>
    <t>46706</t>
  </si>
  <si>
    <t>AUBURN</t>
  </si>
  <si>
    <t>46933</t>
  </si>
  <si>
    <t>GAS CITY</t>
  </si>
  <si>
    <t>47396</t>
  </si>
  <si>
    <t>YORKTOWN</t>
  </si>
  <si>
    <t>66061</t>
  </si>
  <si>
    <t>OLATHE</t>
  </si>
  <si>
    <t>41051</t>
  </si>
  <si>
    <t>INDEPENDENCE</t>
  </si>
  <si>
    <t>KY</t>
  </si>
  <si>
    <t>40391</t>
  </si>
  <si>
    <t>WINCHESTER</t>
  </si>
  <si>
    <t>40741</t>
  </si>
  <si>
    <t>LONDON</t>
  </si>
  <si>
    <t>42101</t>
  </si>
  <si>
    <t>BOWLING GREEN</t>
  </si>
  <si>
    <t>70401</t>
  </si>
  <si>
    <t>HAMMOND</t>
  </si>
  <si>
    <t>LA</t>
  </si>
  <si>
    <t>70455</t>
  </si>
  <si>
    <t>ROBERT</t>
  </si>
  <si>
    <t>70810</t>
  </si>
  <si>
    <t>BATON ROUGE</t>
  </si>
  <si>
    <t>01810</t>
  </si>
  <si>
    <t>ANDOVER</t>
  </si>
  <si>
    <t>MA</t>
  </si>
  <si>
    <t>01844</t>
  </si>
  <si>
    <t>METHUEN</t>
  </si>
  <si>
    <t>02702</t>
  </si>
  <si>
    <t>ASSONET</t>
  </si>
  <si>
    <t>01038</t>
  </si>
  <si>
    <t>HATFIELD</t>
  </si>
  <si>
    <t>20794</t>
  </si>
  <si>
    <t>JESSUP</t>
  </si>
  <si>
    <t>20774</t>
  </si>
  <si>
    <t>UPPER MARLBORO</t>
  </si>
  <si>
    <t>21701</t>
  </si>
  <si>
    <t>FREDERICK</t>
  </si>
  <si>
    <t>21770</t>
  </si>
  <si>
    <t>MONROVIA</t>
  </si>
  <si>
    <t>21795</t>
  </si>
  <si>
    <t>WILLIAMSPORT</t>
  </si>
  <si>
    <t>21901</t>
  </si>
  <si>
    <t>NORTH EAST</t>
  </si>
  <si>
    <t>04106</t>
  </si>
  <si>
    <t>SOUTH PORTLAND</t>
  </si>
  <si>
    <t>ME</t>
  </si>
  <si>
    <t>04240</t>
  </si>
  <si>
    <t>LEWISTON</t>
  </si>
  <si>
    <t>48166</t>
  </si>
  <si>
    <t>NEWPORT</t>
  </si>
  <si>
    <t>MI</t>
  </si>
  <si>
    <t>48892</t>
  </si>
  <si>
    <t>WEBBERVILLE</t>
  </si>
  <si>
    <t>48917</t>
  </si>
  <si>
    <t>LANSING</t>
  </si>
  <si>
    <t>49315</t>
  </si>
  <si>
    <t>BYRON CENTER</t>
  </si>
  <si>
    <t>55021</t>
  </si>
  <si>
    <t>FARIBAULT</t>
  </si>
  <si>
    <t>MN</t>
  </si>
  <si>
    <t>55343</t>
  </si>
  <si>
    <t>HOPKINS</t>
  </si>
  <si>
    <t>56001</t>
  </si>
  <si>
    <t>MANKATO</t>
  </si>
  <si>
    <t>63134</t>
  </si>
  <si>
    <t>BERKELEY</t>
  </si>
  <si>
    <t>MO</t>
  </si>
  <si>
    <t>63140</t>
  </si>
  <si>
    <t>SAINT LOUIS</t>
  </si>
  <si>
    <t>63366</t>
  </si>
  <si>
    <t>O FALLON</t>
  </si>
  <si>
    <t>64701</t>
  </si>
  <si>
    <t>HARRISONVILLE</t>
  </si>
  <si>
    <t>65270</t>
  </si>
  <si>
    <t>MOBERLY</t>
  </si>
  <si>
    <t>38652</t>
  </si>
  <si>
    <t>NEW ALBANY</t>
  </si>
  <si>
    <t>MS</t>
  </si>
  <si>
    <t>27302</t>
  </si>
  <si>
    <t>MEBANE</t>
  </si>
  <si>
    <t>NC</t>
  </si>
  <si>
    <t>27520</t>
  </si>
  <si>
    <t>CLAYTON</t>
  </si>
  <si>
    <t>27537</t>
  </si>
  <si>
    <t>HENDERSON</t>
  </si>
  <si>
    <t>28601</t>
  </si>
  <si>
    <t>HICKORY</t>
  </si>
  <si>
    <t>27301</t>
  </si>
  <si>
    <t>MCLEANSVILLE</t>
  </si>
  <si>
    <t>28144</t>
  </si>
  <si>
    <t>SALISBURY</t>
  </si>
  <si>
    <t>28334</t>
  </si>
  <si>
    <t>DUNN</t>
  </si>
  <si>
    <t>28711</t>
  </si>
  <si>
    <t>BLACK MOUNTAIN</t>
  </si>
  <si>
    <t>58103</t>
  </si>
  <si>
    <t>FARGO</t>
  </si>
  <si>
    <t>ND</t>
  </si>
  <si>
    <t>68008</t>
  </si>
  <si>
    <t>BLAIR</t>
  </si>
  <si>
    <t>NE</t>
  </si>
  <si>
    <t>68127</t>
  </si>
  <si>
    <t>OMAHA</t>
  </si>
  <si>
    <t>69101</t>
  </si>
  <si>
    <t>NORTH PLATTE</t>
  </si>
  <si>
    <t>07072</t>
  </si>
  <si>
    <t>CARLSTADT</t>
  </si>
  <si>
    <t>NJ</t>
  </si>
  <si>
    <t>08831</t>
  </si>
  <si>
    <t>MONROE TOWNSHIP</t>
  </si>
  <si>
    <t>07080</t>
  </si>
  <si>
    <t>SOUTH PLAINFIELD</t>
  </si>
  <si>
    <t>87031</t>
  </si>
  <si>
    <t>LOS LUNAS</t>
  </si>
  <si>
    <t>NM</t>
  </si>
  <si>
    <t>89165</t>
  </si>
  <si>
    <t>LAS VEGAS</t>
  </si>
  <si>
    <t>NV</t>
  </si>
  <si>
    <t>89434</t>
  </si>
  <si>
    <t>MCCARRAN</t>
  </si>
  <si>
    <t>10918</t>
  </si>
  <si>
    <t>CHESTER</t>
  </si>
  <si>
    <t>NY</t>
  </si>
  <si>
    <t>11378</t>
  </si>
  <si>
    <t>MASPETH</t>
  </si>
  <si>
    <t>12095</t>
  </si>
  <si>
    <t>JOHNSTOWN</t>
  </si>
  <si>
    <t>12156</t>
  </si>
  <si>
    <t>SCHODACK LANDING</t>
  </si>
  <si>
    <t>12306</t>
  </si>
  <si>
    <t>SCHENECTADY</t>
  </si>
  <si>
    <t>13159</t>
  </si>
  <si>
    <t>TULLY</t>
  </si>
  <si>
    <t>13748</t>
  </si>
  <si>
    <t>CONKLIN</t>
  </si>
  <si>
    <t>14086</t>
  </si>
  <si>
    <t>LANCASTER</t>
  </si>
  <si>
    <t>14624</t>
  </si>
  <si>
    <t>ROCHESTER</t>
  </si>
  <si>
    <t>44233</t>
  </si>
  <si>
    <t>HINCKLEY</t>
  </si>
  <si>
    <t>OH</t>
  </si>
  <si>
    <t>43015</t>
  </si>
  <si>
    <t>DELAWARE</t>
  </si>
  <si>
    <t>43160</t>
  </si>
  <si>
    <t>WASHINGTON COURT HOUSE</t>
  </si>
  <si>
    <t>43162</t>
  </si>
  <si>
    <t>WEST JEFFERSON</t>
  </si>
  <si>
    <t>43701</t>
  </si>
  <si>
    <t>ZANESVILLE</t>
  </si>
  <si>
    <t>43952</t>
  </si>
  <si>
    <t>WINTERSVILLE</t>
  </si>
  <si>
    <t>44010</t>
  </si>
  <si>
    <t>AUSTINBURG</t>
  </si>
  <si>
    <t>44137</t>
  </si>
  <si>
    <t>MAPLE HEIGHTS</t>
  </si>
  <si>
    <t>44146</t>
  </si>
  <si>
    <t>BEDFORD HEIGHTS</t>
  </si>
  <si>
    <t>45371</t>
  </si>
  <si>
    <t>TIPP CITY</t>
  </si>
  <si>
    <t>45502</t>
  </si>
  <si>
    <t>SPRINGFIELD</t>
  </si>
  <si>
    <t>45801</t>
  </si>
  <si>
    <t>LIMA</t>
  </si>
  <si>
    <t>73075</t>
  </si>
  <si>
    <t>PAULS VALLEY</t>
  </si>
  <si>
    <t>OK</t>
  </si>
  <si>
    <t>73401</t>
  </si>
  <si>
    <t>ARDMORE</t>
  </si>
  <si>
    <t>74051</t>
  </si>
  <si>
    <t>OCHELATA</t>
  </si>
  <si>
    <t>97071</t>
  </si>
  <si>
    <t>WOODBURN</t>
  </si>
  <si>
    <t>OR</t>
  </si>
  <si>
    <t>97230</t>
  </si>
  <si>
    <t>PORTLAND</t>
  </si>
  <si>
    <t>16056</t>
  </si>
  <si>
    <t>SAXONBURG</t>
  </si>
  <si>
    <t>18034</t>
  </si>
  <si>
    <t>CENTER VALLEY</t>
  </si>
  <si>
    <t>15205</t>
  </si>
  <si>
    <t>PITTSBURGH</t>
  </si>
  <si>
    <t>15672</t>
  </si>
  <si>
    <t>NEW STANTON</t>
  </si>
  <si>
    <t>17901</t>
  </si>
  <si>
    <t>POTTSVILLE</t>
  </si>
  <si>
    <t>15522</t>
  </si>
  <si>
    <t>BEDFORD</t>
  </si>
  <si>
    <t>17110</t>
  </si>
  <si>
    <t>HARRISBURG</t>
  </si>
  <si>
    <t>17225</t>
  </si>
  <si>
    <t>GREENCASTLE</t>
  </si>
  <si>
    <t>18078</t>
  </si>
  <si>
    <t>SCHNECKSVILLE</t>
  </si>
  <si>
    <t>29047</t>
  </si>
  <si>
    <t>ELLOREE</t>
  </si>
  <si>
    <t>SC</t>
  </si>
  <si>
    <t>29385</t>
  </si>
  <si>
    <t>WELLFORD</t>
  </si>
  <si>
    <t>29607</t>
  </si>
  <si>
    <t>GREENVILLE</t>
  </si>
  <si>
    <t>29728</t>
  </si>
  <si>
    <t>PAGELAND</t>
  </si>
  <si>
    <t>29591</t>
  </si>
  <si>
    <t>SCRANTON</t>
  </si>
  <si>
    <t>37122</t>
  </si>
  <si>
    <t>MOUNT JULIET</t>
  </si>
  <si>
    <t>TN</t>
  </si>
  <si>
    <t>37160</t>
  </si>
  <si>
    <t>75146</t>
  </si>
  <si>
    <t>TX</t>
  </si>
  <si>
    <t>75160</t>
  </si>
  <si>
    <t>TERRELL</t>
  </si>
  <si>
    <t>75701</t>
  </si>
  <si>
    <t>TYLER</t>
  </si>
  <si>
    <t>75902</t>
  </si>
  <si>
    <t>LUFKIN</t>
  </si>
  <si>
    <t>76033</t>
  </si>
  <si>
    <t>CLEBURNE</t>
  </si>
  <si>
    <t>76207</t>
  </si>
  <si>
    <t>DENTON</t>
  </si>
  <si>
    <t>76262</t>
  </si>
  <si>
    <t>ROANOKE</t>
  </si>
  <si>
    <t>77021</t>
  </si>
  <si>
    <t>HOUSTON</t>
  </si>
  <si>
    <t>77080</t>
  </si>
  <si>
    <t>77357</t>
  </si>
  <si>
    <t>NEW CANEY</t>
  </si>
  <si>
    <t>77471</t>
  </si>
  <si>
    <t>ROSENBERG</t>
  </si>
  <si>
    <t>78218</t>
  </si>
  <si>
    <t>SAN ANTONIO</t>
  </si>
  <si>
    <t>79120</t>
  </si>
  <si>
    <t>AMARILLO</t>
  </si>
  <si>
    <t>79404</t>
  </si>
  <si>
    <t>LUBBOCK</t>
  </si>
  <si>
    <t>79927</t>
  </si>
  <si>
    <t>EL PASO</t>
  </si>
  <si>
    <t>84054</t>
  </si>
  <si>
    <t>NORTH SALT LAKE</t>
  </si>
  <si>
    <t>UT</t>
  </si>
  <si>
    <t>84307</t>
  </si>
  <si>
    <t>CORINNE</t>
  </si>
  <si>
    <t>84404</t>
  </si>
  <si>
    <t>FARR WEST</t>
  </si>
  <si>
    <t>23005</t>
  </si>
  <si>
    <t>ASHLAND</t>
  </si>
  <si>
    <t>VA</t>
  </si>
  <si>
    <t>24210</t>
  </si>
  <si>
    <t>ABINGDON</t>
  </si>
  <si>
    <t>22407</t>
  </si>
  <si>
    <t>FREDERICKSBURG</t>
  </si>
  <si>
    <t>22942</t>
  </si>
  <si>
    <t>GORDONSVILLE</t>
  </si>
  <si>
    <t>23116</t>
  </si>
  <si>
    <t>MECHANICSVILLE</t>
  </si>
  <si>
    <t>23842</t>
  </si>
  <si>
    <t>DISPUTANTA</t>
  </si>
  <si>
    <t>24605</t>
  </si>
  <si>
    <t>BLUEFIELD</t>
  </si>
  <si>
    <t>98371</t>
  </si>
  <si>
    <t>PUYALLUP</t>
  </si>
  <si>
    <t>WA</t>
  </si>
  <si>
    <t>98531</t>
  </si>
  <si>
    <t>CENTRALIA</t>
  </si>
  <si>
    <t>98930</t>
  </si>
  <si>
    <t>GRANDVIEW</t>
  </si>
  <si>
    <t>99207</t>
  </si>
  <si>
    <t>SPOKANE</t>
  </si>
  <si>
    <t>99217</t>
  </si>
  <si>
    <t>53154</t>
  </si>
  <si>
    <t>OAK CREEK</t>
  </si>
  <si>
    <t>WI</t>
  </si>
  <si>
    <t>53158</t>
  </si>
  <si>
    <t>PLEASANT PRAIRIE</t>
  </si>
  <si>
    <t>53222</t>
  </si>
  <si>
    <t>MILWAUKEE</t>
  </si>
  <si>
    <t>53511</t>
  </si>
  <si>
    <t>BELOIT</t>
  </si>
  <si>
    <t>53711</t>
  </si>
  <si>
    <t>MADISON</t>
  </si>
  <si>
    <t>54304</t>
  </si>
  <si>
    <t>GREEN BAY</t>
  </si>
  <si>
    <t>54660</t>
  </si>
  <si>
    <t>TOMAH</t>
  </si>
  <si>
    <t>82007</t>
  </si>
  <si>
    <t>CHEYENNE</t>
  </si>
  <si>
    <t>WY</t>
  </si>
  <si>
    <t>82009</t>
  </si>
  <si>
    <t>INBOUND</t>
  </si>
  <si>
    <t>52240</t>
  </si>
  <si>
    <t>IOWA CITY</t>
  </si>
  <si>
    <t>FTL_AMB</t>
  </si>
  <si>
    <t>Ambient</t>
  </si>
  <si>
    <t>60124</t>
  </si>
  <si>
    <t>ELGIN</t>
  </si>
  <si>
    <t>08110</t>
  </si>
  <si>
    <t>PENNSAUKEN</t>
  </si>
  <si>
    <t>64141</t>
  </si>
  <si>
    <t>KANSAS CITY</t>
  </si>
  <si>
    <t>08536</t>
  </si>
  <si>
    <t>PLAINSBORO</t>
  </si>
  <si>
    <t>63147</t>
  </si>
  <si>
    <t>ST LOUIS</t>
  </si>
  <si>
    <t>68124</t>
  </si>
  <si>
    <t>LA VISTA</t>
  </si>
  <si>
    <t>45216</t>
  </si>
  <si>
    <t>CINCINNATI</t>
  </si>
  <si>
    <t>07936</t>
  </si>
  <si>
    <t>EAST HANOVER</t>
  </si>
  <si>
    <t>41048</t>
  </si>
  <si>
    <t>HEBRON</t>
  </si>
  <si>
    <t>21224</t>
  </si>
  <si>
    <t>BALTIMORE</t>
  </si>
  <si>
    <t>51031</t>
  </si>
  <si>
    <t>MARS</t>
  </si>
  <si>
    <t>J0V 2B0</t>
  </si>
  <si>
    <t>SAINT PLACIDE</t>
  </si>
  <si>
    <t>QC</t>
  </si>
  <si>
    <t>68137</t>
  </si>
  <si>
    <t>17042</t>
  </si>
  <si>
    <t>LEBANON</t>
  </si>
  <si>
    <t>IM_AMB</t>
  </si>
  <si>
    <t>STO</t>
  </si>
  <si>
    <t>33147</t>
  </si>
  <si>
    <t>66024</t>
  </si>
  <si>
    <t>ELWOOD</t>
  </si>
  <si>
    <t>67951</t>
  </si>
  <si>
    <t>HUGOTON</t>
  </si>
  <si>
    <t>N3V 0A6</t>
  </si>
  <si>
    <t>BRANTFORD</t>
  </si>
  <si>
    <t>ON</t>
  </si>
  <si>
    <t>HAZELTON</t>
  </si>
  <si>
    <t>78045</t>
  </si>
  <si>
    <t>LAREDO</t>
  </si>
  <si>
    <t>T4A 0E2</t>
  </si>
  <si>
    <t>ROCKY VIEW</t>
  </si>
  <si>
    <t>AB</t>
  </si>
  <si>
    <t>V3Z 1J2</t>
  </si>
  <si>
    <t>SURREY</t>
  </si>
  <si>
    <t>BC</t>
  </si>
  <si>
    <t>E1E 1C8</t>
  </si>
  <si>
    <t>MONCTON</t>
  </si>
  <si>
    <t>NB</t>
  </si>
  <si>
    <t>E1H 3S5</t>
  </si>
  <si>
    <t>A0A 1G0</t>
  </si>
  <si>
    <t>BAY ROBERTS</t>
  </si>
  <si>
    <t>NL</t>
  </si>
  <si>
    <t>A1B 4G3</t>
  </si>
  <si>
    <t>ST. JOHN'S</t>
  </si>
  <si>
    <t>K6H 7M4</t>
  </si>
  <si>
    <t>CORNWALL</t>
  </si>
  <si>
    <t>K6V 5V7</t>
  </si>
  <si>
    <t>BROCKVILLE</t>
  </si>
  <si>
    <t>L0G 1V0</t>
  </si>
  <si>
    <t>Sharon</t>
  </si>
  <si>
    <t>L4L 1A5</t>
  </si>
  <si>
    <t>VAUGHAN</t>
  </si>
  <si>
    <t>L4L 1A7</t>
  </si>
  <si>
    <t>L5N 5M9</t>
  </si>
  <si>
    <t>MISSISSAUGA</t>
  </si>
  <si>
    <t>M9B 1C1</t>
  </si>
  <si>
    <t>Toronto</t>
  </si>
  <si>
    <t>M9L 1V8</t>
  </si>
  <si>
    <t>North York</t>
  </si>
  <si>
    <t>N3T 6H2</t>
  </si>
  <si>
    <t>N5C 3J8</t>
  </si>
  <si>
    <t>INGERSOLL</t>
  </si>
  <si>
    <t>H4P 0A1</t>
  </si>
  <si>
    <t>Montreal</t>
  </si>
  <si>
    <t>J3X 1P7</t>
  </si>
  <si>
    <t>VARENNES</t>
  </si>
  <si>
    <t>J6Y 0J5</t>
  </si>
  <si>
    <t>Terrebone</t>
  </si>
  <si>
    <t>T5L 3H3</t>
  </si>
  <si>
    <t>EDMONTON</t>
  </si>
  <si>
    <t>L6H 6X5</t>
  </si>
  <si>
    <t>Oakville</t>
  </si>
  <si>
    <t>G9A 5E1</t>
  </si>
  <si>
    <t>Trois-Rivières</t>
  </si>
  <si>
    <t>8611</t>
  </si>
  <si>
    <t>TRENTON</t>
  </si>
  <si>
    <t>8110</t>
  </si>
  <si>
    <t>50036</t>
  </si>
  <si>
    <t>Boone</t>
  </si>
  <si>
    <t>N3R 7J1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</si>
</sst>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b/>
      <i/>
      <sz val="11"/>
      <name val="Calibri"/>
    </font>
    <font>
      <i/>
      <sz val="11"/>
      <name val="Calibri"/>
    </font>
    <font>
      <sz val="11"/>
      <name val="Calibri"/>
    </font>
    <font>
      <sz val="11"/>
      <color rgb="FFFFFFFF"/>
      <name val="Calibri"/>
    </font>
    <font>
      <sz val="11"/>
      <color rgb="FF9A05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C576E"/>
        <bgColor rgb="FF4C576E"/>
      </patternFill>
    </fill>
    <fill>
      <patternFill patternType="solid">
        <fgColor rgb="FFE0E4EB"/>
        <bgColor rgb="FFE0E4EB"/>
      </patternFill>
    </fill>
    <fill>
      <patternFill patternType="solid">
        <fgColor rgb="FFD9D9D9"/>
        <bgColor rgb="FFD9D9D9"/>
      </patternFill>
    </fill>
    <fill>
      <patternFill patternType="solid">
        <fgColor rgb="FFF8E189"/>
        <bgColor rgb="FFF8E189"/>
      </patternFill>
    </fill>
    <fill>
      <patternFill patternType="solid">
        <fgColor rgb="FFFFBF00"/>
        <bgColor rgb="FFFFBF00"/>
      </patternFill>
    </fill>
    <fill>
      <patternFill patternType="solid">
        <fgColor rgb="FFE6D17F"/>
        <bgColor rgb="FFE6D17F"/>
      </patternFill>
    </fill>
    <fill>
      <patternFill patternType="solid">
        <fgColor rgb="FFD3D9E0"/>
        <bgColor rgb="FFD3D9E0"/>
      </patternFill>
    </fill>
    <fill>
      <patternFill patternType="solid">
        <fgColor rgb="FFFEC7CE"/>
        <bgColor rgb="FFFEC7C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1">
    <xf numFmtId="0" fontId="0" fillId="0" borderId="0"/>
    <xf numFmtId="0" fontId="1" fillId="2" borderId="1"/>
    <xf numFmtId="0" fontId="2" fillId="3" borderId="1"/>
    <xf numFmtId="0" fontId="3" fillId="0" borderId="2"/>
    <xf numFmtId="0" fontId="2" fillId="0" borderId="2">
      <alignment vertical="center" wrapText="1"/>
    </xf>
    <xf numFmtId="0" fontId="2" fillId="4" borderId="2">
      <alignment vertical="center" wrapText="1"/>
    </xf>
    <xf numFmtId="0" fontId="4" fillId="0" borderId="2"/>
    <xf numFmtId="0" fontId="4" fillId="4" borderId="2"/>
    <xf numFmtId="4" fontId="5" fillId="5" borderId="1">
      <alignment horizontal="left"/>
      <protection locked="0"/>
    </xf>
    <xf numFmtId="0" fontId="6" fillId="0" borderId="2"/>
    <xf numFmtId="49" fontId="5" fillId="6" borderId="1">
      <alignment vertical="center" wrapText="1"/>
    </xf>
    <xf numFmtId="0" fontId="5" fillId="5" borderId="1">
      <alignment vertical="center" wrapText="1"/>
      <protection locked="0"/>
    </xf>
    <xf numFmtId="0" fontId="5" fillId="7" borderId="1">
      <alignment vertical="center" wrapText="1"/>
      <protection locked="0"/>
    </xf>
    <xf numFmtId="49" fontId="5" fillId="0" borderId="1">
      <alignment vertical="center" wrapText="1"/>
    </xf>
    <xf numFmtId="49" fontId="5" fillId="4" borderId="1">
      <alignment vertical="center" wrapText="1"/>
    </xf>
    <xf numFmtId="0" fontId="5" fillId="5" borderId="1">
      <alignment horizontal="right" vertical="center" wrapText="1"/>
      <protection locked="0"/>
    </xf>
    <xf numFmtId="0" fontId="5" fillId="0" borderId="1">
      <alignment horizontal="right" vertical="center" wrapText="1"/>
    </xf>
    <xf numFmtId="0" fontId="2" fillId="8" borderId="1">
      <alignment horizontal="center" vertical="center" wrapText="1"/>
    </xf>
    <xf numFmtId="0" fontId="5" fillId="3" borderId="1">
      <alignment horizontal="center" vertical="center" wrapText="1"/>
    </xf>
    <xf numFmtId="0" fontId="4" fillId="3" borderId="1">
      <alignment horizontal="center" vertical="center" wrapText="1"/>
    </xf>
    <xf numFmtId="0" fontId="7" fillId="9" borderId="2"/>
    <xf numFmtId="3" fontId="5" fillId="5" borderId="1">
      <alignment horizontal="right" vertical="center" wrapText="1"/>
      <protection locked="0"/>
    </xf>
    <xf numFmtId="164" fontId="5" fillId="5" borderId="1">
      <alignment horizontal="right" vertical="center" wrapText="1"/>
      <protection locked="0"/>
    </xf>
    <xf numFmtId="4" fontId="5" fillId="5" borderId="1">
      <alignment horizontal="right" vertical="center" wrapText="1"/>
      <protection locked="0"/>
    </xf>
    <xf numFmtId="3" fontId="5" fillId="7" borderId="1">
      <alignment horizontal="right" vertical="center" wrapText="1"/>
      <protection locked="0"/>
    </xf>
    <xf numFmtId="164" fontId="5" fillId="7" borderId="1">
      <alignment horizontal="right" vertical="center" wrapText="1"/>
      <protection locked="0"/>
    </xf>
    <xf numFmtId="4" fontId="5" fillId="7" borderId="1">
      <alignment horizontal="right" vertical="center" wrapText="1"/>
      <protection locked="0"/>
    </xf>
    <xf numFmtId="3" fontId="5" fillId="0" borderId="1">
      <alignment horizontal="right" vertical="center" wrapText="1"/>
    </xf>
    <xf numFmtId="164" fontId="5" fillId="0" borderId="1">
      <alignment horizontal="right" vertical="center" wrapText="1"/>
    </xf>
    <xf numFmtId="3" fontId="5" fillId="4" borderId="1">
      <alignment horizontal="right" vertical="center" wrapText="1"/>
    </xf>
    <xf numFmtId="164" fontId="5" fillId="4" borderId="1">
      <alignment horizontal="right" vertical="center" wrapText="1"/>
    </xf>
  </cellStyleXfs>
  <cellXfs count="33">
    <xf numFmtId="0" fontId="0" fillId="0" borderId="0" xfId="0"/>
    <xf numFmtId="0" fontId="0" fillId="0" borderId="6" xfId="0" applyBorder="1"/>
    <xf numFmtId="0" fontId="0" fillId="0" borderId="7" xfId="0" applyBorder="1"/>
    <xf numFmtId="0" fontId="3" fillId="0" borderId="2" xfId="3"/>
    <xf numFmtId="0" fontId="4" fillId="0" borderId="2" xfId="6"/>
    <xf numFmtId="0" fontId="0" fillId="0" borderId="8" xfId="0" applyBorder="1"/>
    <xf numFmtId="0" fontId="0" fillId="0" borderId="9" xfId="0" applyBorder="1"/>
    <xf numFmtId="0" fontId="0" fillId="0" borderId="10" xfId="0" applyBorder="1"/>
    <xf numFmtId="49" fontId="5" fillId="0" borderId="1" xfId="13">
      <alignment vertical="center" wrapText="1"/>
    </xf>
    <xf numFmtId="0" fontId="5" fillId="5" borderId="1" xfId="11">
      <alignment vertical="center" wrapText="1"/>
      <protection locked="0"/>
    </xf>
    <xf numFmtId="4" fontId="5" fillId="5" borderId="1" xfId="23">
      <alignment horizontal="right" vertical="center" wrapText="1"/>
      <protection locked="0"/>
    </xf>
    <xf numFmtId="0" fontId="5" fillId="7" borderId="1" xfId="12">
      <alignment vertical="center" wrapText="1"/>
      <protection locked="0"/>
    </xf>
    <xf numFmtId="4" fontId="5" fillId="7" borderId="1" xfId="26">
      <alignment horizontal="right" vertical="center" wrapText="1"/>
      <protection locked="0"/>
    </xf>
    <xf numFmtId="0" fontId="4" fillId="4" borderId="2" xfId="7"/>
    <xf numFmtId="0" fontId="2" fillId="8" borderId="1" xfId="17">
      <alignment horizontal="center" vertical="center" wrapText="1"/>
    </xf>
    <xf numFmtId="0" fontId="4" fillId="3" borderId="1" xfId="19">
      <alignment horizontal="center" vertical="center" wrapText="1"/>
    </xf>
    <xf numFmtId="0" fontId="5" fillId="3" borderId="1" xfId="18">
      <alignment horizontal="center" vertical="center" wrapText="1"/>
    </xf>
    <xf numFmtId="3" fontId="5" fillId="0" borderId="1" xfId="27">
      <alignment horizontal="right" vertical="center" wrapText="1"/>
    </xf>
    <xf numFmtId="164" fontId="5" fillId="0" borderId="1" xfId="28">
      <alignment horizontal="right" vertical="center" wrapText="1"/>
    </xf>
    <xf numFmtId="164" fontId="5" fillId="5" borderId="1" xfId="22">
      <alignment horizontal="right" vertical="center" wrapText="1"/>
      <protection locked="0"/>
    </xf>
    <xf numFmtId="3" fontId="5" fillId="5" borderId="1" xfId="21">
      <alignment horizontal="right" vertical="center" wrapText="1"/>
      <protection locked="0"/>
    </xf>
    <xf numFmtId="49" fontId="5" fillId="4" borderId="1" xfId="14">
      <alignment vertical="center" wrapText="1"/>
    </xf>
    <xf numFmtId="3" fontId="5" fillId="4" borderId="1" xfId="29">
      <alignment horizontal="right" vertical="center" wrapText="1"/>
    </xf>
    <xf numFmtId="164" fontId="5" fillId="4" borderId="1" xfId="30">
      <alignment horizontal="right" vertical="center" wrapText="1"/>
    </xf>
    <xf numFmtId="164" fontId="5" fillId="7" borderId="1" xfId="25">
      <alignment horizontal="right" vertical="center" wrapText="1"/>
      <protection locked="0"/>
    </xf>
    <xf numFmtId="3" fontId="5" fillId="7" borderId="1" xfId="24">
      <alignment horizontal="right" vertical="center" wrapText="1"/>
      <protection locked="0"/>
    </xf>
    <xf numFmtId="0" fontId="2" fillId="3" borderId="4" xfId="2" applyBorder="1"/>
    <xf numFmtId="0" fontId="0" fillId="0" borderId="3" xfId="0" applyBorder="1"/>
    <xf numFmtId="0" fontId="0" fillId="0" borderId="5" xfId="0" applyBorder="1"/>
    <xf numFmtId="0" fontId="1" fillId="2" borderId="4" xfId="1" applyBorder="1"/>
    <xf numFmtId="0" fontId="2" fillId="0" borderId="2" xfId="4">
      <alignment vertical="center" wrapText="1"/>
    </xf>
    <xf numFmtId="0" fontId="0" fillId="0" borderId="0" xfId="0"/>
    <xf numFmtId="0" fontId="2" fillId="4" borderId="2" xfId="5">
      <alignment vertical="center" wrapText="1"/>
    </xf>
  </cellXfs>
  <cellStyles count="31">
    <cellStyle name="background_amber" xfId="10" xr:uid="{00000000-0005-0000-0000-00000D000000}"/>
    <cellStyle name="editable_number" xfId="15" xr:uid="{00000000-0005-0000-0000-000014000000}"/>
    <cellStyle name="editable_number_pre_0" xfId="21" xr:uid="{00000000-0005-0000-0000-000021000000}"/>
    <cellStyle name="editable_number_pre_0_shaded" xfId="24" xr:uid="{00000000-0005-0000-0000-000028000000}"/>
    <cellStyle name="editable_number_pre_1" xfId="22" xr:uid="{00000000-0005-0000-0000-000022000000}"/>
    <cellStyle name="editable_number_pre_1_shaded" xfId="25" xr:uid="{00000000-0005-0000-0000-000029000000}"/>
    <cellStyle name="editable_number_pre_2" xfId="23" xr:uid="{00000000-0005-0000-0000-000023000000}"/>
    <cellStyle name="editable_number_pre_2_shaded" xfId="26" xr:uid="{00000000-0005-0000-0000-00002A000000}"/>
    <cellStyle name="editable_text" xfId="11" xr:uid="{00000000-0005-0000-0000-00000F000000}"/>
    <cellStyle name="editable_text_shaded" xfId="12" xr:uid="{00000000-0005-0000-0000-000010000000}"/>
    <cellStyle name="error" xfId="20" xr:uid="{00000000-0005-0000-0000-000020000000}"/>
    <cellStyle name="header" xfId="1" xr:uid="{00000000-0005-0000-0000-000001000000}"/>
    <cellStyle name="hidden_text" xfId="9" xr:uid="{00000000-0005-0000-0000-00000B000000}"/>
    <cellStyle name="mandatory_cell" xfId="8" xr:uid="{00000000-0005-0000-0000-00000A000000}"/>
    <cellStyle name="non_editable_number" xfId="16" xr:uid="{00000000-0005-0000-0000-00001B000000}"/>
    <cellStyle name="non_editable_number_pre_0" xfId="27" xr:uid="{00000000-0005-0000-0000-00002F000000}"/>
    <cellStyle name="non_editable_number_pre_0_shaded" xfId="29" xr:uid="{00000000-0005-0000-0000-000036000000}"/>
    <cellStyle name="non_editable_number_pre_1" xfId="28" xr:uid="{00000000-0005-0000-0000-000030000000}"/>
    <cellStyle name="non_editable_number_pre_1_shaded" xfId="30" xr:uid="{00000000-0005-0000-0000-000037000000}"/>
    <cellStyle name="non_editable_text" xfId="13" xr:uid="{00000000-0005-0000-0000-000011000000}"/>
    <cellStyle name="non_editable_text_shaded" xfId="14" xr:uid="{00000000-0005-0000-0000-000012000000}"/>
    <cellStyle name="Normal" xfId="0" builtinId="0"/>
    <cellStyle name="secondary_table_header" xfId="18" xr:uid="{00000000-0005-0000-0000-00001E000000}"/>
    <cellStyle name="secondary_table_header_italic" xfId="19" xr:uid="{00000000-0005-0000-0000-00001F000000}"/>
    <cellStyle name="section_title" xfId="2" xr:uid="{00000000-0005-0000-0000-000002000000}"/>
    <cellStyle name="table_header" xfId="17" xr:uid="{00000000-0005-0000-0000-00001D000000}"/>
    <cellStyle name="text" xfId="6" xr:uid="{00000000-0005-0000-0000-000008000000}"/>
    <cellStyle name="text_shaded" xfId="7" xr:uid="{00000000-0005-0000-0000-000009000000}"/>
    <cellStyle name="text_title" xfId="3" xr:uid="{00000000-0005-0000-0000-000003000000}"/>
    <cellStyle name="text_title_wrapped" xfId="4" xr:uid="{00000000-0005-0000-0000-000004000000}"/>
    <cellStyle name="text_title_wrapped_shaded" xfId="5" xr:uid="{00000000-0005-0000-0000-000005000000}"/>
  </cellStyles>
  <dxfs count="2">
    <dxf>
      <fill>
        <patternFill patternType="solid">
          <fgColor rgb="FFC9434D"/>
          <bgColor rgb="FFC9434D"/>
        </patternFill>
      </fill>
    </dxf>
    <dxf>
      <fill>
        <patternFill patternType="solid">
          <fgColor rgb="FF62BEA4"/>
          <bgColor rgb="FF62BEA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19"/>
  <sheetViews>
    <sheetView showGridLines="0" topLeftCell="A100" workbookViewId="0"/>
  </sheetViews>
  <sheetFormatPr defaultRowHeight="15" x14ac:dyDescent="0.25"/>
  <cols>
    <col min="3" max="3" width="35" customWidth="1"/>
  </cols>
  <sheetData>
    <row r="2" spans="2:15" ht="17.25" x14ac:dyDescent="0.3">
      <c r="B2" s="29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4" spans="2:15" x14ac:dyDescent="0.25">
      <c r="B4" s="26" t="s">
        <v>0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8"/>
    </row>
    <row r="5" spans="2:15" x14ac:dyDescent="0.25">
      <c r="B5" s="1"/>
      <c r="O5" s="2"/>
    </row>
    <row r="6" spans="2:15" x14ac:dyDescent="0.25">
      <c r="B6" s="1"/>
      <c r="C6" s="3" t="s">
        <v>1</v>
      </c>
      <c r="D6" s="4" t="s">
        <v>2</v>
      </c>
      <c r="O6" s="2"/>
    </row>
    <row r="7" spans="2:15" x14ac:dyDescent="0.25">
      <c r="B7" s="1"/>
      <c r="C7" s="3" t="s">
        <v>3</v>
      </c>
      <c r="D7" s="4" t="s">
        <v>4</v>
      </c>
      <c r="O7" s="2"/>
    </row>
    <row r="8" spans="2:15" x14ac:dyDescent="0.25">
      <c r="B8" s="1"/>
      <c r="C8" s="3" t="s">
        <v>5</v>
      </c>
      <c r="D8" s="4" t="s">
        <v>6</v>
      </c>
      <c r="O8" s="2"/>
    </row>
    <row r="9" spans="2:15" x14ac:dyDescent="0.25">
      <c r="B9" s="1"/>
      <c r="C9" s="4"/>
      <c r="D9" s="4" t="s">
        <v>7</v>
      </c>
      <c r="O9" s="2"/>
    </row>
    <row r="10" spans="2:15" x14ac:dyDescent="0.25">
      <c r="B10" s="1"/>
      <c r="C10" s="4"/>
      <c r="D10" s="4" t="s">
        <v>8</v>
      </c>
      <c r="O10" s="2"/>
    </row>
    <row r="11" spans="2:15" x14ac:dyDescent="0.25">
      <c r="B11" s="1"/>
      <c r="C11" s="4"/>
      <c r="D11" s="4"/>
      <c r="O11" s="2"/>
    </row>
    <row r="12" spans="2:15" x14ac:dyDescent="0.25">
      <c r="B12" s="1"/>
      <c r="C12" s="4"/>
      <c r="D12" s="4" t="s">
        <v>9</v>
      </c>
      <c r="O12" s="2"/>
    </row>
    <row r="13" spans="2:15" x14ac:dyDescent="0.25">
      <c r="B13" s="1"/>
      <c r="C13" s="4"/>
      <c r="D13" s="4" t="s">
        <v>10</v>
      </c>
      <c r="O13" s="2"/>
    </row>
    <row r="14" spans="2:15" x14ac:dyDescent="0.25">
      <c r="B14" s="1"/>
      <c r="C14" s="4"/>
      <c r="D14" s="4" t="s">
        <v>11</v>
      </c>
      <c r="O14" s="2"/>
    </row>
    <row r="15" spans="2:15" x14ac:dyDescent="0.25">
      <c r="B15" s="1"/>
      <c r="C15" s="4"/>
      <c r="D15" s="4"/>
      <c r="O15" s="2"/>
    </row>
    <row r="16" spans="2:15" x14ac:dyDescent="0.25">
      <c r="B16" s="1"/>
      <c r="C16" s="4"/>
      <c r="D16" s="4" t="s">
        <v>12</v>
      </c>
      <c r="O16" s="2"/>
    </row>
    <row r="17" spans="2:15" x14ac:dyDescent="0.25">
      <c r="B17" s="1"/>
      <c r="C17" s="4"/>
      <c r="D17" s="4" t="s">
        <v>13</v>
      </c>
      <c r="O17" s="2"/>
    </row>
    <row r="18" spans="2:15" x14ac:dyDescent="0.25">
      <c r="B18" s="1"/>
      <c r="C18" s="4"/>
      <c r="D18" s="4" t="s">
        <v>14</v>
      </c>
      <c r="O18" s="2"/>
    </row>
    <row r="19" spans="2:15" x14ac:dyDescent="0.25">
      <c r="B19" s="1"/>
      <c r="C19" s="4"/>
      <c r="D19" s="4" t="s">
        <v>15</v>
      </c>
      <c r="O19" s="2"/>
    </row>
    <row r="20" spans="2:15" x14ac:dyDescent="0.25">
      <c r="B20" s="1"/>
      <c r="C20" s="4"/>
      <c r="D20" s="4" t="s">
        <v>16</v>
      </c>
      <c r="O20" s="2"/>
    </row>
    <row r="21" spans="2:15" x14ac:dyDescent="0.25">
      <c r="B21" s="1"/>
      <c r="C21" s="4"/>
      <c r="D21" s="4" t="s">
        <v>17</v>
      </c>
      <c r="O21" s="2"/>
    </row>
    <row r="22" spans="2:15" x14ac:dyDescent="0.25">
      <c r="B22" s="1"/>
      <c r="C22" s="4"/>
      <c r="D22" s="4" t="s">
        <v>18</v>
      </c>
      <c r="O22" s="2"/>
    </row>
    <row r="23" spans="2:15" x14ac:dyDescent="0.25">
      <c r="B23" s="1"/>
      <c r="C23" s="4"/>
      <c r="D23" s="4"/>
      <c r="O23" s="2"/>
    </row>
    <row r="24" spans="2:15" x14ac:dyDescent="0.25">
      <c r="B24" s="1"/>
      <c r="C24" s="4"/>
      <c r="D24" s="4" t="s">
        <v>19</v>
      </c>
      <c r="O24" s="2"/>
    </row>
    <row r="25" spans="2:15" x14ac:dyDescent="0.25">
      <c r="B25" s="1"/>
      <c r="C25" s="4"/>
      <c r="D25" s="4" t="s">
        <v>20</v>
      </c>
      <c r="O25" s="2"/>
    </row>
    <row r="26" spans="2:15" x14ac:dyDescent="0.25">
      <c r="B26" s="1"/>
      <c r="C26" s="4"/>
      <c r="D26" s="4" t="s">
        <v>21</v>
      </c>
      <c r="O26" s="2"/>
    </row>
    <row r="27" spans="2:15" x14ac:dyDescent="0.25">
      <c r="B27" s="1"/>
      <c r="C27" s="4"/>
      <c r="D27" s="4" t="s">
        <v>22</v>
      </c>
      <c r="O27" s="2"/>
    </row>
    <row r="28" spans="2:15" x14ac:dyDescent="0.25">
      <c r="B28" s="1"/>
      <c r="C28" s="4"/>
      <c r="D28" s="4" t="s">
        <v>23</v>
      </c>
      <c r="O28" s="2"/>
    </row>
    <row r="29" spans="2:15" x14ac:dyDescent="0.25">
      <c r="B29" s="1"/>
      <c r="C29" s="4"/>
      <c r="D29" s="4"/>
      <c r="O29" s="2"/>
    </row>
    <row r="30" spans="2:15" x14ac:dyDescent="0.25">
      <c r="B30" s="1"/>
      <c r="C30" s="4"/>
      <c r="D30" s="4" t="s">
        <v>24</v>
      </c>
      <c r="O30" s="2"/>
    </row>
    <row r="31" spans="2:15" x14ac:dyDescent="0.25">
      <c r="B31" s="1"/>
      <c r="C31" s="4"/>
      <c r="D31" s="4" t="s">
        <v>25</v>
      </c>
      <c r="O31" s="2"/>
    </row>
    <row r="32" spans="2:15" x14ac:dyDescent="0.25">
      <c r="B32" s="1"/>
      <c r="C32" s="4"/>
      <c r="D32" s="4" t="s">
        <v>26</v>
      </c>
      <c r="O32" s="2"/>
    </row>
    <row r="33" spans="2:15" x14ac:dyDescent="0.25">
      <c r="B33" s="1"/>
      <c r="C33" s="4"/>
      <c r="D33" s="4"/>
      <c r="O33" s="2"/>
    </row>
    <row r="34" spans="2:15" x14ac:dyDescent="0.25">
      <c r="B34" s="1"/>
      <c r="C34" s="4"/>
      <c r="D34" s="4"/>
      <c r="O34" s="2"/>
    </row>
    <row r="35" spans="2:15" x14ac:dyDescent="0.25">
      <c r="B35" s="1"/>
      <c r="C35" s="4"/>
      <c r="D35" s="4" t="s">
        <v>27</v>
      </c>
      <c r="O35" s="2"/>
    </row>
    <row r="36" spans="2:15" x14ac:dyDescent="0.25">
      <c r="B36" s="1"/>
      <c r="C36" s="4"/>
      <c r="D36" s="4" t="s">
        <v>28</v>
      </c>
      <c r="O36" s="2"/>
    </row>
    <row r="37" spans="2:15" x14ac:dyDescent="0.25">
      <c r="B37" s="1"/>
      <c r="C37" s="4"/>
      <c r="D37" s="4" t="s">
        <v>29</v>
      </c>
      <c r="O37" s="2"/>
    </row>
    <row r="38" spans="2:15" x14ac:dyDescent="0.25">
      <c r="B38" s="1"/>
      <c r="C38" s="4"/>
      <c r="D38" s="4" t="s">
        <v>30</v>
      </c>
      <c r="O38" s="2"/>
    </row>
    <row r="39" spans="2:15" x14ac:dyDescent="0.25">
      <c r="B39" s="1"/>
      <c r="C39" s="4"/>
      <c r="D39" s="4" t="s">
        <v>31</v>
      </c>
      <c r="O39" s="2"/>
    </row>
    <row r="40" spans="2:15" x14ac:dyDescent="0.25">
      <c r="B40" s="1"/>
      <c r="C40" s="4"/>
      <c r="D40" s="4" t="s">
        <v>32</v>
      </c>
      <c r="O40" s="2"/>
    </row>
    <row r="41" spans="2:15" x14ac:dyDescent="0.25">
      <c r="B41" s="1"/>
      <c r="C41" s="4"/>
      <c r="D41" s="4"/>
      <c r="O41" s="2"/>
    </row>
    <row r="42" spans="2:15" x14ac:dyDescent="0.25">
      <c r="B42" s="1"/>
      <c r="C42" s="4"/>
      <c r="D42" s="4" t="s">
        <v>33</v>
      </c>
      <c r="O42" s="2"/>
    </row>
    <row r="43" spans="2:15" x14ac:dyDescent="0.25">
      <c r="B43" s="1"/>
      <c r="C43" s="4"/>
      <c r="D43" s="4" t="s">
        <v>34</v>
      </c>
      <c r="O43" s="2"/>
    </row>
    <row r="44" spans="2:15" x14ac:dyDescent="0.25">
      <c r="B44" s="1"/>
      <c r="C44" s="4"/>
      <c r="D44" s="4" t="s">
        <v>35</v>
      </c>
      <c r="O44" s="2"/>
    </row>
    <row r="45" spans="2:15" x14ac:dyDescent="0.25">
      <c r="B45" s="1"/>
      <c r="C45" s="4"/>
      <c r="D45" s="4" t="s">
        <v>36</v>
      </c>
      <c r="O45" s="2"/>
    </row>
    <row r="46" spans="2:15" x14ac:dyDescent="0.25">
      <c r="B46" s="1"/>
      <c r="C46" s="4"/>
      <c r="D46" s="4"/>
      <c r="O46" s="2"/>
    </row>
    <row r="47" spans="2:15" x14ac:dyDescent="0.25">
      <c r="B47" s="1"/>
      <c r="C47" s="4"/>
      <c r="D47" s="4" t="s">
        <v>37</v>
      </c>
      <c r="O47" s="2"/>
    </row>
    <row r="48" spans="2:15" x14ac:dyDescent="0.25">
      <c r="B48" s="1"/>
      <c r="C48" s="4"/>
      <c r="D48" s="4" t="s">
        <v>38</v>
      </c>
      <c r="O48" s="2"/>
    </row>
    <row r="49" spans="2:15" x14ac:dyDescent="0.25">
      <c r="B49" s="1"/>
      <c r="C49" s="4"/>
      <c r="D49" s="4"/>
      <c r="O49" s="2"/>
    </row>
    <row r="50" spans="2:15" x14ac:dyDescent="0.25">
      <c r="B50" s="1"/>
      <c r="C50" s="4"/>
      <c r="D50" s="4" t="s">
        <v>39</v>
      </c>
      <c r="O50" s="2"/>
    </row>
    <row r="51" spans="2:15" x14ac:dyDescent="0.25">
      <c r="B51" s="1"/>
      <c r="C51" s="4"/>
      <c r="D51" s="4" t="s">
        <v>40</v>
      </c>
      <c r="O51" s="2"/>
    </row>
    <row r="52" spans="2:15" x14ac:dyDescent="0.25">
      <c r="B52" s="1"/>
      <c r="C52" s="4"/>
      <c r="D52" s="4" t="s">
        <v>41</v>
      </c>
      <c r="O52" s="2"/>
    </row>
    <row r="53" spans="2:15" x14ac:dyDescent="0.25">
      <c r="B53" s="1"/>
      <c r="C53" s="4"/>
      <c r="D53" s="4" t="s">
        <v>42</v>
      </c>
      <c r="O53" s="2"/>
    </row>
    <row r="54" spans="2:15" x14ac:dyDescent="0.25">
      <c r="B54" s="1"/>
      <c r="C54" s="4"/>
      <c r="D54" s="4" t="s">
        <v>43</v>
      </c>
      <c r="O54" s="2"/>
    </row>
    <row r="55" spans="2:15" x14ac:dyDescent="0.25">
      <c r="B55" s="1"/>
      <c r="C55" s="4"/>
      <c r="D55" s="4" t="s">
        <v>44</v>
      </c>
      <c r="O55" s="2"/>
    </row>
    <row r="56" spans="2:15" x14ac:dyDescent="0.25">
      <c r="B56" s="1"/>
      <c r="C56" s="4"/>
      <c r="D56" s="4"/>
      <c r="O56" s="2"/>
    </row>
    <row r="57" spans="2:15" x14ac:dyDescent="0.25">
      <c r="B57" s="1"/>
      <c r="C57" s="4"/>
      <c r="D57" s="4" t="s">
        <v>45</v>
      </c>
      <c r="O57" s="2"/>
    </row>
    <row r="58" spans="2:15" x14ac:dyDescent="0.25">
      <c r="B58" s="1"/>
      <c r="C58" s="4"/>
      <c r="D58" s="4" t="s">
        <v>46</v>
      </c>
      <c r="O58" s="2"/>
    </row>
    <row r="59" spans="2:15" x14ac:dyDescent="0.25">
      <c r="B59" s="1"/>
      <c r="C59" s="4"/>
      <c r="D59" s="4" t="s">
        <v>47</v>
      </c>
      <c r="O59" s="2"/>
    </row>
    <row r="60" spans="2:15" x14ac:dyDescent="0.25">
      <c r="B60" s="1"/>
      <c r="C60" s="4"/>
      <c r="D60" s="4" t="s">
        <v>48</v>
      </c>
      <c r="O60" s="2"/>
    </row>
    <row r="61" spans="2:15" x14ac:dyDescent="0.25">
      <c r="B61" s="1"/>
      <c r="C61" s="4"/>
      <c r="D61" s="4"/>
      <c r="O61" s="2"/>
    </row>
    <row r="62" spans="2:15" x14ac:dyDescent="0.25">
      <c r="B62" s="1"/>
      <c r="C62" s="4"/>
      <c r="D62" s="4" t="s">
        <v>49</v>
      </c>
      <c r="O62" s="2"/>
    </row>
    <row r="63" spans="2:15" x14ac:dyDescent="0.25">
      <c r="B63" s="1"/>
      <c r="C63" s="4"/>
      <c r="D63" s="4" t="s">
        <v>50</v>
      </c>
      <c r="O63" s="2"/>
    </row>
    <row r="64" spans="2:15" x14ac:dyDescent="0.25">
      <c r="B64" s="1"/>
      <c r="C64" s="4"/>
      <c r="D64" s="4" t="s">
        <v>51</v>
      </c>
      <c r="O64" s="2"/>
    </row>
    <row r="65" spans="2:15" x14ac:dyDescent="0.25">
      <c r="B65" s="1"/>
      <c r="C65" s="4"/>
      <c r="D65" s="4" t="s">
        <v>52</v>
      </c>
      <c r="O65" s="2"/>
    </row>
    <row r="66" spans="2:15" x14ac:dyDescent="0.25">
      <c r="B66" s="1"/>
      <c r="C66" s="4"/>
      <c r="D66" s="4" t="s">
        <v>53</v>
      </c>
      <c r="O66" s="2"/>
    </row>
    <row r="67" spans="2:15" x14ac:dyDescent="0.25">
      <c r="B67" s="1"/>
      <c r="C67" s="4"/>
      <c r="D67" s="4"/>
      <c r="O67" s="2"/>
    </row>
    <row r="68" spans="2:15" x14ac:dyDescent="0.25">
      <c r="B68" s="1"/>
      <c r="C68" s="4"/>
      <c r="D68" s="4" t="s">
        <v>54</v>
      </c>
      <c r="O68" s="2"/>
    </row>
    <row r="69" spans="2:15" x14ac:dyDescent="0.25">
      <c r="B69" s="1"/>
      <c r="C69" s="4"/>
      <c r="D69" s="4" t="s">
        <v>55</v>
      </c>
      <c r="O69" s="2"/>
    </row>
    <row r="70" spans="2:15" x14ac:dyDescent="0.25">
      <c r="B70" s="1"/>
      <c r="C70" s="4"/>
      <c r="D70" s="4" t="s">
        <v>56</v>
      </c>
      <c r="O70" s="2"/>
    </row>
    <row r="71" spans="2:15" x14ac:dyDescent="0.25">
      <c r="B71" s="1"/>
      <c r="C71" s="4"/>
      <c r="D71" s="4" t="s">
        <v>57</v>
      </c>
      <c r="O71" s="2"/>
    </row>
    <row r="72" spans="2:15" x14ac:dyDescent="0.25">
      <c r="B72" s="1"/>
      <c r="C72" s="4"/>
      <c r="D72" s="4"/>
      <c r="O72" s="2"/>
    </row>
    <row r="73" spans="2:15" x14ac:dyDescent="0.25">
      <c r="B73" s="1"/>
      <c r="C73" s="4"/>
      <c r="D73" s="4" t="s">
        <v>58</v>
      </c>
      <c r="O73" s="2"/>
    </row>
    <row r="74" spans="2:15" x14ac:dyDescent="0.25">
      <c r="B74" s="1"/>
      <c r="C74" s="4"/>
      <c r="D74" s="4" t="s">
        <v>59</v>
      </c>
      <c r="O74" s="2"/>
    </row>
    <row r="75" spans="2:15" x14ac:dyDescent="0.25">
      <c r="B75" s="1"/>
      <c r="C75" s="4"/>
      <c r="D75" s="4" t="s">
        <v>60</v>
      </c>
      <c r="O75" s="2"/>
    </row>
    <row r="76" spans="2:15" x14ac:dyDescent="0.25">
      <c r="B76" s="1"/>
      <c r="C76" s="4"/>
      <c r="D76" s="4" t="s">
        <v>61</v>
      </c>
      <c r="O76" s="2"/>
    </row>
    <row r="77" spans="2:15" x14ac:dyDescent="0.25"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7"/>
    </row>
    <row r="79" spans="2:15" x14ac:dyDescent="0.25">
      <c r="B79" s="26" t="s">
        <v>62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8"/>
    </row>
    <row r="80" spans="2:15" x14ac:dyDescent="0.25">
      <c r="B80" s="1"/>
      <c r="O80" s="2"/>
    </row>
    <row r="81" spans="2:15" x14ac:dyDescent="0.25">
      <c r="B81" s="1"/>
      <c r="C81" s="3" t="s">
        <v>63</v>
      </c>
      <c r="D81" s="4" t="s">
        <v>64</v>
      </c>
      <c r="O81" s="2"/>
    </row>
    <row r="82" spans="2:15" x14ac:dyDescent="0.25">
      <c r="B82" s="1"/>
      <c r="C82" s="3" t="s">
        <v>65</v>
      </c>
      <c r="D82" s="4" t="s">
        <v>66</v>
      </c>
      <c r="O82" s="2"/>
    </row>
    <row r="83" spans="2:15" x14ac:dyDescent="0.25">
      <c r="B83" s="1"/>
      <c r="C83" s="3" t="s">
        <v>67</v>
      </c>
      <c r="D83" s="4" t="s">
        <v>68</v>
      </c>
      <c r="O83" s="2"/>
    </row>
    <row r="84" spans="2:15" x14ac:dyDescent="0.25"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7"/>
    </row>
    <row r="86" spans="2:15" x14ac:dyDescent="0.25">
      <c r="B86" s="26" t="s">
        <v>69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8"/>
    </row>
    <row r="87" spans="2:15" x14ac:dyDescent="0.25">
      <c r="B87" s="1"/>
      <c r="O87" s="2"/>
    </row>
    <row r="88" spans="2:15" x14ac:dyDescent="0.25">
      <c r="B88" s="1"/>
      <c r="C88" s="3" t="s">
        <v>70</v>
      </c>
      <c r="D88" s="4" t="s">
        <v>71</v>
      </c>
      <c r="O88" s="2"/>
    </row>
    <row r="89" spans="2:15" x14ac:dyDescent="0.25"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7"/>
    </row>
    <row r="91" spans="2:15" x14ac:dyDescent="0.25">
      <c r="B91" s="26" t="s">
        <v>72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8"/>
    </row>
    <row r="92" spans="2:15" x14ac:dyDescent="0.25">
      <c r="B92" s="1"/>
      <c r="O92" s="2"/>
    </row>
    <row r="93" spans="2:15" x14ac:dyDescent="0.25">
      <c r="B93" s="1"/>
      <c r="C93" s="3" t="s">
        <v>73</v>
      </c>
      <c r="D93" s="4" t="s">
        <v>74</v>
      </c>
      <c r="O93" s="2"/>
    </row>
    <row r="94" spans="2:15" x14ac:dyDescent="0.25">
      <c r="B94" s="1"/>
      <c r="C94" s="3" t="s">
        <v>68</v>
      </c>
      <c r="D94" s="4" t="s">
        <v>75</v>
      </c>
      <c r="O94" s="2"/>
    </row>
    <row r="95" spans="2:15" x14ac:dyDescent="0.25"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7"/>
    </row>
    <row r="97" spans="2:15" x14ac:dyDescent="0.25">
      <c r="B97" s="26" t="s">
        <v>76</v>
      </c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8"/>
    </row>
    <row r="98" spans="2:15" x14ac:dyDescent="0.25">
      <c r="B98" s="1"/>
      <c r="O98" s="2"/>
    </row>
    <row r="99" spans="2:15" x14ac:dyDescent="0.25">
      <c r="B99" s="1"/>
      <c r="C99" s="4" t="s">
        <v>77</v>
      </c>
      <c r="O99" s="2"/>
    </row>
    <row r="100" spans="2:15" x14ac:dyDescent="0.25"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7"/>
    </row>
    <row r="102" spans="2:15" x14ac:dyDescent="0.25">
      <c r="B102" s="26" t="s">
        <v>78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8"/>
    </row>
    <row r="103" spans="2:15" x14ac:dyDescent="0.25">
      <c r="B103" s="1"/>
      <c r="O103" s="2"/>
    </row>
    <row r="104" spans="2:15" x14ac:dyDescent="0.25">
      <c r="B104" s="1"/>
      <c r="C104" s="3" t="s">
        <v>79</v>
      </c>
      <c r="O104" s="2"/>
    </row>
    <row r="105" spans="2:15" x14ac:dyDescent="0.25">
      <c r="B105" s="1"/>
      <c r="C105" s="4" t="s">
        <v>80</v>
      </c>
      <c r="O105" s="2"/>
    </row>
    <row r="106" spans="2:15" x14ac:dyDescent="0.25">
      <c r="B106" s="1"/>
      <c r="C106" s="4" t="s">
        <v>81</v>
      </c>
      <c r="O106" s="2"/>
    </row>
    <row r="107" spans="2:15" x14ac:dyDescent="0.25">
      <c r="B107" s="1"/>
      <c r="C107" s="4" t="s">
        <v>82</v>
      </c>
      <c r="O107" s="2"/>
    </row>
    <row r="108" spans="2:15" x14ac:dyDescent="0.25">
      <c r="B108" s="1"/>
      <c r="C108" s="4" t="s">
        <v>83</v>
      </c>
      <c r="O108" s="2"/>
    </row>
    <row r="109" spans="2:15" x14ac:dyDescent="0.25">
      <c r="B109" s="1"/>
      <c r="C109" s="4"/>
      <c r="O109" s="2"/>
    </row>
    <row r="110" spans="2:15" x14ac:dyDescent="0.25">
      <c r="B110" s="1"/>
      <c r="C110" s="3" t="s">
        <v>84</v>
      </c>
      <c r="O110" s="2"/>
    </row>
    <row r="111" spans="2:15" x14ac:dyDescent="0.25">
      <c r="B111" s="1"/>
      <c r="C111" s="4" t="s">
        <v>85</v>
      </c>
      <c r="O111" s="2"/>
    </row>
    <row r="112" spans="2:15" x14ac:dyDescent="0.25">
      <c r="B112" s="1"/>
      <c r="C112" s="4" t="s">
        <v>86</v>
      </c>
      <c r="O112" s="2"/>
    </row>
    <row r="113" spans="2:15" x14ac:dyDescent="0.25">
      <c r="B113" s="1"/>
      <c r="C113" s="4" t="s">
        <v>87</v>
      </c>
      <c r="O113" s="2"/>
    </row>
    <row r="114" spans="2:15" x14ac:dyDescent="0.25">
      <c r="B114" s="1"/>
      <c r="C114" s="4" t="s">
        <v>88</v>
      </c>
      <c r="O114" s="2"/>
    </row>
    <row r="115" spans="2:15" x14ac:dyDescent="0.25">
      <c r="B115" s="1"/>
      <c r="C115" s="4"/>
      <c r="O115" s="2"/>
    </row>
    <row r="116" spans="2:15" x14ac:dyDescent="0.25">
      <c r="B116" s="1"/>
      <c r="C116" s="3" t="s">
        <v>89</v>
      </c>
      <c r="O116" s="2"/>
    </row>
    <row r="117" spans="2:15" x14ac:dyDescent="0.25">
      <c r="B117" s="1"/>
      <c r="C117" s="4" t="s">
        <v>90</v>
      </c>
      <c r="O117" s="2"/>
    </row>
    <row r="118" spans="2:15" x14ac:dyDescent="0.25">
      <c r="B118" s="1"/>
      <c r="C118" s="4" t="s">
        <v>91</v>
      </c>
      <c r="O118" s="2"/>
    </row>
    <row r="119" spans="2:15" x14ac:dyDescent="0.25"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7"/>
    </row>
  </sheetData>
  <sheetProtection password="C93C" sheet="1" formatCells="0" formatColumns="0" formatRows="0" autoFilter="0"/>
  <mergeCells count="7">
    <mergeCell ref="B97:O97"/>
    <mergeCell ref="B102:O102"/>
    <mergeCell ref="B2:O2"/>
    <mergeCell ref="B4:O4"/>
    <mergeCell ref="B79:O79"/>
    <mergeCell ref="B86:O86"/>
    <mergeCell ref="B91:O9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9"/>
  <sheetViews>
    <sheetView workbookViewId="0"/>
  </sheetViews>
  <sheetFormatPr defaultRowHeight="15" x14ac:dyDescent="0.25"/>
  <sheetData>
    <row r="1" spans="1:9" ht="45" x14ac:dyDescent="0.25">
      <c r="A1" s="8" t="s">
        <v>92</v>
      </c>
      <c r="C1" s="8" t="s">
        <v>66</v>
      </c>
      <c r="D1" s="8">
        <v>1</v>
      </c>
      <c r="E1" s="8" t="s">
        <v>66</v>
      </c>
      <c r="F1" s="8" t="s">
        <v>93</v>
      </c>
      <c r="G1" s="8" t="s">
        <v>94</v>
      </c>
      <c r="I1" s="8">
        <v>2</v>
      </c>
    </row>
    <row r="2" spans="1:9" ht="45" x14ac:dyDescent="0.25">
      <c r="A2" s="8" t="s">
        <v>95</v>
      </c>
      <c r="C2" s="8" t="s">
        <v>96</v>
      </c>
      <c r="D2" s="8">
        <v>1.37</v>
      </c>
      <c r="E2" s="8" t="s">
        <v>96</v>
      </c>
      <c r="F2" s="8" t="s">
        <v>97</v>
      </c>
      <c r="G2" s="8" t="s">
        <v>98</v>
      </c>
    </row>
    <row r="3" spans="1:9" ht="45" x14ac:dyDescent="0.25">
      <c r="A3" s="8" t="s">
        <v>99</v>
      </c>
      <c r="G3" s="8" t="s">
        <v>100</v>
      </c>
    </row>
    <row r="4" spans="1:9" ht="45" x14ac:dyDescent="0.25">
      <c r="A4" s="8" t="s">
        <v>101</v>
      </c>
      <c r="G4" s="8" t="s">
        <v>102</v>
      </c>
    </row>
    <row r="5" spans="1:9" ht="45" x14ac:dyDescent="0.25">
      <c r="A5" s="8" t="s">
        <v>103</v>
      </c>
      <c r="G5" s="8" t="s">
        <v>104</v>
      </c>
    </row>
    <row r="6" spans="1:9" ht="45" x14ac:dyDescent="0.25">
      <c r="A6" s="8" t="s">
        <v>105</v>
      </c>
      <c r="G6" s="8" t="s">
        <v>106</v>
      </c>
    </row>
    <row r="7" spans="1:9" ht="45" x14ac:dyDescent="0.25">
      <c r="A7" s="8" t="s">
        <v>107</v>
      </c>
      <c r="G7" s="8" t="s">
        <v>108</v>
      </c>
    </row>
    <row r="8" spans="1:9" ht="45" x14ac:dyDescent="0.25">
      <c r="A8" s="8" t="s">
        <v>109</v>
      </c>
      <c r="G8" s="8" t="s">
        <v>110</v>
      </c>
    </row>
    <row r="9" spans="1:9" ht="45" x14ac:dyDescent="0.25">
      <c r="A9" s="8" t="s">
        <v>111</v>
      </c>
      <c r="G9" s="8" t="s">
        <v>112</v>
      </c>
    </row>
    <row r="10" spans="1:9" ht="45" x14ac:dyDescent="0.25">
      <c r="A10" s="8" t="s">
        <v>113</v>
      </c>
      <c r="G10" s="8" t="s">
        <v>114</v>
      </c>
    </row>
    <row r="11" spans="1:9" ht="45" x14ac:dyDescent="0.25">
      <c r="A11" s="8" t="s">
        <v>115</v>
      </c>
      <c r="G11" s="8" t="s">
        <v>116</v>
      </c>
    </row>
    <row r="12" spans="1:9" ht="45" x14ac:dyDescent="0.25">
      <c r="A12" s="8" t="s">
        <v>117</v>
      </c>
      <c r="G12" s="8" t="s">
        <v>118</v>
      </c>
    </row>
    <row r="13" spans="1:9" ht="45" x14ac:dyDescent="0.25">
      <c r="A13" s="8" t="s">
        <v>119</v>
      </c>
      <c r="G13" s="8" t="s">
        <v>120</v>
      </c>
    </row>
    <row r="14" spans="1:9" ht="45" x14ac:dyDescent="0.25">
      <c r="A14" s="8" t="s">
        <v>121</v>
      </c>
      <c r="G14" s="8" t="s">
        <v>122</v>
      </c>
    </row>
    <row r="15" spans="1:9" ht="45" x14ac:dyDescent="0.25">
      <c r="A15" s="8" t="s">
        <v>123</v>
      </c>
      <c r="G15" s="8" t="s">
        <v>124</v>
      </c>
    </row>
    <row r="16" spans="1:9" ht="45" x14ac:dyDescent="0.25">
      <c r="A16" s="8" t="s">
        <v>125</v>
      </c>
      <c r="G16" s="8" t="s">
        <v>126</v>
      </c>
    </row>
    <row r="17" spans="1:7" ht="45" x14ac:dyDescent="0.25">
      <c r="A17" s="8" t="s">
        <v>127</v>
      </c>
      <c r="G17" s="8" t="s">
        <v>128</v>
      </c>
    </row>
    <row r="18" spans="1:7" ht="45" x14ac:dyDescent="0.25">
      <c r="A18" s="8" t="s">
        <v>129</v>
      </c>
      <c r="G18" s="8" t="s">
        <v>130</v>
      </c>
    </row>
    <row r="19" spans="1:7" ht="45" x14ac:dyDescent="0.25">
      <c r="A19" s="8" t="s">
        <v>131</v>
      </c>
      <c r="G19" s="8" t="s">
        <v>132</v>
      </c>
    </row>
    <row r="20" spans="1:7" ht="45" x14ac:dyDescent="0.25">
      <c r="A20" s="8" t="s">
        <v>133</v>
      </c>
      <c r="G20" s="8" t="s">
        <v>134</v>
      </c>
    </row>
    <row r="21" spans="1:7" ht="45" x14ac:dyDescent="0.25">
      <c r="A21" s="8" t="s">
        <v>135</v>
      </c>
      <c r="G21" s="8" t="s">
        <v>136</v>
      </c>
    </row>
    <row r="22" spans="1:7" ht="45" x14ac:dyDescent="0.25">
      <c r="A22" s="8" t="s">
        <v>137</v>
      </c>
      <c r="G22" s="8" t="s">
        <v>138</v>
      </c>
    </row>
    <row r="23" spans="1:7" ht="45" x14ac:dyDescent="0.25">
      <c r="A23" s="8" t="s">
        <v>139</v>
      </c>
      <c r="G23" s="8" t="s">
        <v>140</v>
      </c>
    </row>
    <row r="24" spans="1:7" ht="45" x14ac:dyDescent="0.25">
      <c r="A24" s="8" t="s">
        <v>141</v>
      </c>
      <c r="G24" s="8" t="s">
        <v>142</v>
      </c>
    </row>
    <row r="25" spans="1:7" ht="45" x14ac:dyDescent="0.25">
      <c r="A25" s="8" t="s">
        <v>143</v>
      </c>
      <c r="G25" s="8" t="s">
        <v>144</v>
      </c>
    </row>
    <row r="26" spans="1:7" ht="45" x14ac:dyDescent="0.25">
      <c r="A26" s="8" t="s">
        <v>145</v>
      </c>
      <c r="G26" s="8" t="s">
        <v>146</v>
      </c>
    </row>
    <row r="27" spans="1:7" ht="45" x14ac:dyDescent="0.25">
      <c r="A27" s="8" t="s">
        <v>147</v>
      </c>
      <c r="G27" s="8" t="s">
        <v>148</v>
      </c>
    </row>
    <row r="28" spans="1:7" ht="45" x14ac:dyDescent="0.25">
      <c r="A28" s="8" t="s">
        <v>149</v>
      </c>
      <c r="G28" s="8" t="s">
        <v>150</v>
      </c>
    </row>
    <row r="29" spans="1:7" ht="45" x14ac:dyDescent="0.25">
      <c r="A29" s="8" t="s">
        <v>151</v>
      </c>
      <c r="G29" s="8" t="s">
        <v>152</v>
      </c>
    </row>
    <row r="30" spans="1:7" ht="45" x14ac:dyDescent="0.25">
      <c r="A30" s="8" t="s">
        <v>153</v>
      </c>
      <c r="G30" s="8" t="s">
        <v>154</v>
      </c>
    </row>
    <row r="31" spans="1:7" ht="45" x14ac:dyDescent="0.25">
      <c r="A31" s="8" t="s">
        <v>155</v>
      </c>
      <c r="G31" s="8" t="s">
        <v>156</v>
      </c>
    </row>
    <row r="32" spans="1:7" ht="45" x14ac:dyDescent="0.25">
      <c r="A32" s="8" t="s">
        <v>157</v>
      </c>
    </row>
    <row r="33" spans="1:1" ht="45" x14ac:dyDescent="0.25">
      <c r="A33" s="8" t="s">
        <v>158</v>
      </c>
    </row>
    <row r="34" spans="1:1" ht="45" x14ac:dyDescent="0.25">
      <c r="A34" s="8" t="s">
        <v>159</v>
      </c>
    </row>
    <row r="35" spans="1:1" ht="45" x14ac:dyDescent="0.25">
      <c r="A35" s="8" t="s">
        <v>160</v>
      </c>
    </row>
    <row r="36" spans="1:1" ht="45" x14ac:dyDescent="0.25">
      <c r="A36" s="8" t="s">
        <v>161</v>
      </c>
    </row>
    <row r="37" spans="1:1" ht="45" x14ac:dyDescent="0.25">
      <c r="A37" s="8" t="s">
        <v>162</v>
      </c>
    </row>
    <row r="38" spans="1:1" ht="45" x14ac:dyDescent="0.25">
      <c r="A38" s="8" t="s">
        <v>163</v>
      </c>
    </row>
    <row r="39" spans="1:1" ht="45" x14ac:dyDescent="0.25">
      <c r="A39" s="8" t="s">
        <v>164</v>
      </c>
    </row>
    <row r="40" spans="1:1" ht="45" x14ac:dyDescent="0.25">
      <c r="A40" s="8" t="s">
        <v>165</v>
      </c>
    </row>
    <row r="41" spans="1:1" ht="45" x14ac:dyDescent="0.25">
      <c r="A41" s="8" t="s">
        <v>166</v>
      </c>
    </row>
    <row r="42" spans="1:1" ht="45" x14ac:dyDescent="0.25">
      <c r="A42" s="8" t="s">
        <v>167</v>
      </c>
    </row>
    <row r="43" spans="1:1" ht="45" x14ac:dyDescent="0.25">
      <c r="A43" s="8" t="s">
        <v>168</v>
      </c>
    </row>
    <row r="44" spans="1:1" ht="45" x14ac:dyDescent="0.25">
      <c r="A44" s="8" t="s">
        <v>169</v>
      </c>
    </row>
    <row r="45" spans="1:1" ht="45" x14ac:dyDescent="0.25">
      <c r="A45" s="8" t="s">
        <v>170</v>
      </c>
    </row>
    <row r="46" spans="1:1" ht="45" x14ac:dyDescent="0.25">
      <c r="A46" s="8" t="s">
        <v>171</v>
      </c>
    </row>
    <row r="47" spans="1:1" ht="45" x14ac:dyDescent="0.25">
      <c r="A47" s="8" t="s">
        <v>172</v>
      </c>
    </row>
    <row r="48" spans="1:1" ht="45" x14ac:dyDescent="0.25">
      <c r="A48" s="8" t="s">
        <v>173</v>
      </c>
    </row>
    <row r="49" spans="1:1" ht="45" x14ac:dyDescent="0.25">
      <c r="A49" s="8" t="s">
        <v>174</v>
      </c>
    </row>
    <row r="50" spans="1:1" ht="45" x14ac:dyDescent="0.25">
      <c r="A50" s="8" t="s">
        <v>175</v>
      </c>
    </row>
    <row r="51" spans="1:1" ht="45" x14ac:dyDescent="0.25">
      <c r="A51" s="8" t="s">
        <v>176</v>
      </c>
    </row>
    <row r="52" spans="1:1" ht="45" x14ac:dyDescent="0.25">
      <c r="A52" s="8" t="s">
        <v>177</v>
      </c>
    </row>
    <row r="53" spans="1:1" ht="45" x14ac:dyDescent="0.25">
      <c r="A53" s="8" t="s">
        <v>178</v>
      </c>
    </row>
    <row r="54" spans="1:1" ht="45" x14ac:dyDescent="0.25">
      <c r="A54" s="8" t="s">
        <v>179</v>
      </c>
    </row>
    <row r="55" spans="1:1" ht="45" x14ac:dyDescent="0.25">
      <c r="A55" s="8" t="s">
        <v>180</v>
      </c>
    </row>
    <row r="56" spans="1:1" ht="45" x14ac:dyDescent="0.25">
      <c r="A56" s="8" t="s">
        <v>181</v>
      </c>
    </row>
    <row r="57" spans="1:1" ht="45" x14ac:dyDescent="0.25">
      <c r="A57" s="8" t="s">
        <v>182</v>
      </c>
    </row>
    <row r="58" spans="1:1" ht="45" x14ac:dyDescent="0.25">
      <c r="A58" s="8" t="s">
        <v>183</v>
      </c>
    </row>
    <row r="59" spans="1:1" ht="45" x14ac:dyDescent="0.25">
      <c r="A59" s="8" t="s">
        <v>184</v>
      </c>
    </row>
    <row r="60" spans="1:1" ht="45" x14ac:dyDescent="0.25">
      <c r="A60" s="8" t="s">
        <v>185</v>
      </c>
    </row>
    <row r="61" spans="1:1" ht="45" x14ac:dyDescent="0.25">
      <c r="A61" s="8" t="s">
        <v>186</v>
      </c>
    </row>
    <row r="62" spans="1:1" ht="45" x14ac:dyDescent="0.25">
      <c r="A62" s="8" t="s">
        <v>187</v>
      </c>
    </row>
    <row r="63" spans="1:1" ht="45" x14ac:dyDescent="0.25">
      <c r="A63" s="8" t="s">
        <v>188</v>
      </c>
    </row>
    <row r="64" spans="1:1" ht="45" x14ac:dyDescent="0.25">
      <c r="A64" s="8" t="s">
        <v>189</v>
      </c>
    </row>
    <row r="65" spans="1:1" ht="45" x14ac:dyDescent="0.25">
      <c r="A65" s="8" t="s">
        <v>190</v>
      </c>
    </row>
    <row r="66" spans="1:1" ht="45" x14ac:dyDescent="0.25">
      <c r="A66" s="8" t="s">
        <v>191</v>
      </c>
    </row>
    <row r="67" spans="1:1" ht="45" x14ac:dyDescent="0.25">
      <c r="A67" s="8" t="s">
        <v>192</v>
      </c>
    </row>
    <row r="68" spans="1:1" ht="45" x14ac:dyDescent="0.25">
      <c r="A68" s="8" t="s">
        <v>193</v>
      </c>
    </row>
    <row r="69" spans="1:1" ht="45" x14ac:dyDescent="0.25">
      <c r="A69" s="8" t="s">
        <v>194</v>
      </c>
    </row>
    <row r="70" spans="1:1" ht="45" x14ac:dyDescent="0.25">
      <c r="A70" s="8" t="s">
        <v>195</v>
      </c>
    </row>
    <row r="71" spans="1:1" ht="45" x14ac:dyDescent="0.25">
      <c r="A71" s="8" t="s">
        <v>196</v>
      </c>
    </row>
    <row r="72" spans="1:1" ht="45" x14ac:dyDescent="0.25">
      <c r="A72" s="8" t="s">
        <v>197</v>
      </c>
    </row>
    <row r="73" spans="1:1" ht="45" x14ac:dyDescent="0.25">
      <c r="A73" s="8" t="s">
        <v>198</v>
      </c>
    </row>
    <row r="74" spans="1:1" ht="45" x14ac:dyDescent="0.25">
      <c r="A74" s="8" t="s">
        <v>199</v>
      </c>
    </row>
    <row r="75" spans="1:1" ht="45" x14ac:dyDescent="0.25">
      <c r="A75" s="8" t="s">
        <v>200</v>
      </c>
    </row>
    <row r="76" spans="1:1" ht="45" x14ac:dyDescent="0.25">
      <c r="A76" s="8" t="s">
        <v>201</v>
      </c>
    </row>
    <row r="77" spans="1:1" ht="45" x14ac:dyDescent="0.25">
      <c r="A77" s="8" t="s">
        <v>202</v>
      </c>
    </row>
    <row r="78" spans="1:1" ht="45" x14ac:dyDescent="0.25">
      <c r="A78" s="8" t="s">
        <v>203</v>
      </c>
    </row>
    <row r="79" spans="1:1" ht="45" x14ac:dyDescent="0.25">
      <c r="A79" s="8" t="s">
        <v>204</v>
      </c>
    </row>
    <row r="80" spans="1:1" ht="45" x14ac:dyDescent="0.25">
      <c r="A80" s="8" t="s">
        <v>205</v>
      </c>
    </row>
    <row r="81" spans="1:1" ht="45" x14ac:dyDescent="0.25">
      <c r="A81" s="8" t="s">
        <v>206</v>
      </c>
    </row>
    <row r="82" spans="1:1" ht="45" x14ac:dyDescent="0.25">
      <c r="A82" s="8" t="s">
        <v>207</v>
      </c>
    </row>
    <row r="83" spans="1:1" ht="45" x14ac:dyDescent="0.25">
      <c r="A83" s="8" t="s">
        <v>208</v>
      </c>
    </row>
    <row r="84" spans="1:1" ht="45" x14ac:dyDescent="0.25">
      <c r="A84" s="8" t="s">
        <v>209</v>
      </c>
    </row>
    <row r="85" spans="1:1" ht="45" x14ac:dyDescent="0.25">
      <c r="A85" s="8" t="s">
        <v>210</v>
      </c>
    </row>
    <row r="86" spans="1:1" ht="45" x14ac:dyDescent="0.25">
      <c r="A86" s="8" t="s">
        <v>211</v>
      </c>
    </row>
    <row r="87" spans="1:1" ht="45" x14ac:dyDescent="0.25">
      <c r="A87" s="8" t="s">
        <v>212</v>
      </c>
    </row>
    <row r="88" spans="1:1" ht="45" x14ac:dyDescent="0.25">
      <c r="A88" s="8" t="s">
        <v>213</v>
      </c>
    </row>
    <row r="89" spans="1:1" ht="45" x14ac:dyDescent="0.25">
      <c r="A89" s="8" t="s">
        <v>214</v>
      </c>
    </row>
    <row r="90" spans="1:1" ht="45" x14ac:dyDescent="0.25">
      <c r="A90" s="8" t="s">
        <v>215</v>
      </c>
    </row>
    <row r="91" spans="1:1" ht="45" x14ac:dyDescent="0.25">
      <c r="A91" s="8" t="s">
        <v>216</v>
      </c>
    </row>
    <row r="92" spans="1:1" ht="45" x14ac:dyDescent="0.25">
      <c r="A92" s="8" t="s">
        <v>217</v>
      </c>
    </row>
    <row r="93" spans="1:1" ht="45" x14ac:dyDescent="0.25">
      <c r="A93" s="8" t="s">
        <v>218</v>
      </c>
    </row>
    <row r="94" spans="1:1" ht="45" x14ac:dyDescent="0.25">
      <c r="A94" s="8" t="s">
        <v>219</v>
      </c>
    </row>
    <row r="95" spans="1:1" ht="45" x14ac:dyDescent="0.25">
      <c r="A95" s="8" t="s">
        <v>220</v>
      </c>
    </row>
    <row r="96" spans="1:1" ht="45" x14ac:dyDescent="0.25">
      <c r="A96" s="8" t="s">
        <v>221</v>
      </c>
    </row>
    <row r="97" spans="1:1" ht="45" x14ac:dyDescent="0.25">
      <c r="A97" s="8" t="s">
        <v>222</v>
      </c>
    </row>
    <row r="98" spans="1:1" ht="45" x14ac:dyDescent="0.25">
      <c r="A98" s="8" t="s">
        <v>223</v>
      </c>
    </row>
    <row r="99" spans="1:1" ht="45" x14ac:dyDescent="0.25">
      <c r="A99" s="8" t="s">
        <v>224</v>
      </c>
    </row>
    <row r="100" spans="1:1" ht="45" x14ac:dyDescent="0.25">
      <c r="A100" s="8" t="s">
        <v>225</v>
      </c>
    </row>
    <row r="101" spans="1:1" ht="45" x14ac:dyDescent="0.25">
      <c r="A101" s="8" t="s">
        <v>226</v>
      </c>
    </row>
    <row r="102" spans="1:1" ht="45" x14ac:dyDescent="0.25">
      <c r="A102" s="8" t="s">
        <v>227</v>
      </c>
    </row>
    <row r="103" spans="1:1" ht="45" x14ac:dyDescent="0.25">
      <c r="A103" s="8" t="s">
        <v>228</v>
      </c>
    </row>
    <row r="104" spans="1:1" ht="45" x14ac:dyDescent="0.25">
      <c r="A104" s="8" t="s">
        <v>229</v>
      </c>
    </row>
    <row r="105" spans="1:1" ht="45" x14ac:dyDescent="0.25">
      <c r="A105" s="8" t="s">
        <v>230</v>
      </c>
    </row>
    <row r="106" spans="1:1" ht="45" x14ac:dyDescent="0.25">
      <c r="A106" s="8" t="s">
        <v>231</v>
      </c>
    </row>
    <row r="107" spans="1:1" ht="45" x14ac:dyDescent="0.25">
      <c r="A107" s="8" t="s">
        <v>232</v>
      </c>
    </row>
    <row r="108" spans="1:1" ht="45" x14ac:dyDescent="0.25">
      <c r="A108" s="8" t="s">
        <v>233</v>
      </c>
    </row>
    <row r="109" spans="1:1" ht="45" x14ac:dyDescent="0.25">
      <c r="A109" s="8" t="s">
        <v>234</v>
      </c>
    </row>
    <row r="110" spans="1:1" ht="45" x14ac:dyDescent="0.25">
      <c r="A110" s="8" t="s">
        <v>235</v>
      </c>
    </row>
    <row r="111" spans="1:1" ht="45" x14ac:dyDescent="0.25">
      <c r="A111" s="8" t="s">
        <v>236</v>
      </c>
    </row>
    <row r="112" spans="1:1" ht="45" x14ac:dyDescent="0.25">
      <c r="A112" s="8" t="s">
        <v>237</v>
      </c>
    </row>
    <row r="113" spans="1:1" ht="45" x14ac:dyDescent="0.25">
      <c r="A113" s="8" t="s">
        <v>238</v>
      </c>
    </row>
    <row r="114" spans="1:1" ht="45" x14ac:dyDescent="0.25">
      <c r="A114" s="8" t="s">
        <v>239</v>
      </c>
    </row>
    <row r="115" spans="1:1" ht="45" x14ac:dyDescent="0.25">
      <c r="A115" s="8" t="s">
        <v>240</v>
      </c>
    </row>
    <row r="116" spans="1:1" ht="45" x14ac:dyDescent="0.25">
      <c r="A116" s="8" t="s">
        <v>241</v>
      </c>
    </row>
    <row r="117" spans="1:1" ht="45" x14ac:dyDescent="0.25">
      <c r="A117" s="8" t="s">
        <v>242</v>
      </c>
    </row>
    <row r="118" spans="1:1" ht="45" x14ac:dyDescent="0.25">
      <c r="A118" s="8" t="s">
        <v>243</v>
      </c>
    </row>
    <row r="119" spans="1:1" ht="45" x14ac:dyDescent="0.25">
      <c r="A119" s="8" t="s">
        <v>244</v>
      </c>
    </row>
    <row r="120" spans="1:1" ht="45" x14ac:dyDescent="0.25">
      <c r="A120" s="8" t="s">
        <v>245</v>
      </c>
    </row>
    <row r="121" spans="1:1" ht="45" x14ac:dyDescent="0.25">
      <c r="A121" s="8" t="s">
        <v>246</v>
      </c>
    </row>
    <row r="122" spans="1:1" ht="45" x14ac:dyDescent="0.25">
      <c r="A122" s="8" t="s">
        <v>247</v>
      </c>
    </row>
    <row r="123" spans="1:1" ht="45" x14ac:dyDescent="0.25">
      <c r="A123" s="8" t="s">
        <v>248</v>
      </c>
    </row>
    <row r="124" spans="1:1" ht="45" x14ac:dyDescent="0.25">
      <c r="A124" s="8" t="s">
        <v>249</v>
      </c>
    </row>
    <row r="125" spans="1:1" ht="45" x14ac:dyDescent="0.25">
      <c r="A125" s="8" t="s">
        <v>250</v>
      </c>
    </row>
    <row r="126" spans="1:1" ht="45" x14ac:dyDescent="0.25">
      <c r="A126" s="8" t="s">
        <v>251</v>
      </c>
    </row>
    <row r="127" spans="1:1" ht="45" x14ac:dyDescent="0.25">
      <c r="A127" s="8" t="s">
        <v>252</v>
      </c>
    </row>
    <row r="128" spans="1:1" ht="45" x14ac:dyDescent="0.25">
      <c r="A128" s="8" t="s">
        <v>253</v>
      </c>
    </row>
    <row r="129" spans="1:1" ht="45" x14ac:dyDescent="0.25">
      <c r="A129" s="8" t="s">
        <v>254</v>
      </c>
    </row>
    <row r="130" spans="1:1" ht="45" x14ac:dyDescent="0.25">
      <c r="A130" s="8" t="s">
        <v>255</v>
      </c>
    </row>
    <row r="131" spans="1:1" ht="45" x14ac:dyDescent="0.25">
      <c r="A131" s="8" t="s">
        <v>256</v>
      </c>
    </row>
    <row r="132" spans="1:1" ht="45" x14ac:dyDescent="0.25">
      <c r="A132" s="8" t="s">
        <v>257</v>
      </c>
    </row>
    <row r="133" spans="1:1" ht="45" x14ac:dyDescent="0.25">
      <c r="A133" s="8" t="s">
        <v>258</v>
      </c>
    </row>
    <row r="134" spans="1:1" ht="45" x14ac:dyDescent="0.25">
      <c r="A134" s="8" t="s">
        <v>259</v>
      </c>
    </row>
    <row r="135" spans="1:1" ht="45" x14ac:dyDescent="0.25">
      <c r="A135" s="8" t="s">
        <v>260</v>
      </c>
    </row>
    <row r="136" spans="1:1" ht="45" x14ac:dyDescent="0.25">
      <c r="A136" s="8" t="s">
        <v>261</v>
      </c>
    </row>
    <row r="137" spans="1:1" ht="45" x14ac:dyDescent="0.25">
      <c r="A137" s="8" t="s">
        <v>262</v>
      </c>
    </row>
    <row r="138" spans="1:1" ht="45" x14ac:dyDescent="0.25">
      <c r="A138" s="8" t="s">
        <v>263</v>
      </c>
    </row>
    <row r="139" spans="1:1" ht="45" x14ac:dyDescent="0.25">
      <c r="A139" s="8" t="s">
        <v>264</v>
      </c>
    </row>
    <row r="140" spans="1:1" ht="45" x14ac:dyDescent="0.25">
      <c r="A140" s="8" t="s">
        <v>265</v>
      </c>
    </row>
    <row r="141" spans="1:1" ht="45" x14ac:dyDescent="0.25">
      <c r="A141" s="8" t="s">
        <v>266</v>
      </c>
    </row>
    <row r="142" spans="1:1" ht="45" x14ac:dyDescent="0.25">
      <c r="A142" s="8" t="s">
        <v>267</v>
      </c>
    </row>
    <row r="143" spans="1:1" ht="45" x14ac:dyDescent="0.25">
      <c r="A143" s="8" t="s">
        <v>268</v>
      </c>
    </row>
    <row r="144" spans="1:1" ht="45" x14ac:dyDescent="0.25">
      <c r="A144" s="8" t="s">
        <v>269</v>
      </c>
    </row>
    <row r="145" spans="1:1" ht="45" x14ac:dyDescent="0.25">
      <c r="A145" s="8" t="s">
        <v>270</v>
      </c>
    </row>
    <row r="146" spans="1:1" ht="45" x14ac:dyDescent="0.25">
      <c r="A146" s="8" t="s">
        <v>271</v>
      </c>
    </row>
    <row r="147" spans="1:1" ht="45" x14ac:dyDescent="0.25">
      <c r="A147" s="8" t="s">
        <v>272</v>
      </c>
    </row>
    <row r="148" spans="1:1" ht="45" x14ac:dyDescent="0.25">
      <c r="A148" s="8" t="s">
        <v>273</v>
      </c>
    </row>
    <row r="149" spans="1:1" ht="45" x14ac:dyDescent="0.25">
      <c r="A149" s="8" t="s">
        <v>274</v>
      </c>
    </row>
    <row r="150" spans="1:1" ht="45" x14ac:dyDescent="0.25">
      <c r="A150" s="8" t="s">
        <v>275</v>
      </c>
    </row>
    <row r="151" spans="1:1" ht="45" x14ac:dyDescent="0.25">
      <c r="A151" s="8" t="s">
        <v>276</v>
      </c>
    </row>
    <row r="152" spans="1:1" ht="45" x14ac:dyDescent="0.25">
      <c r="A152" s="8" t="s">
        <v>277</v>
      </c>
    </row>
    <row r="153" spans="1:1" ht="45" x14ac:dyDescent="0.25">
      <c r="A153" s="8" t="s">
        <v>278</v>
      </c>
    </row>
    <row r="154" spans="1:1" ht="45" x14ac:dyDescent="0.25">
      <c r="A154" s="8" t="s">
        <v>279</v>
      </c>
    </row>
    <row r="155" spans="1:1" ht="45" x14ac:dyDescent="0.25">
      <c r="A155" s="8" t="s">
        <v>280</v>
      </c>
    </row>
    <row r="156" spans="1:1" ht="45" x14ac:dyDescent="0.25">
      <c r="A156" s="8" t="s">
        <v>281</v>
      </c>
    </row>
    <row r="157" spans="1:1" ht="45" x14ac:dyDescent="0.25">
      <c r="A157" s="8" t="s">
        <v>282</v>
      </c>
    </row>
    <row r="158" spans="1:1" ht="45" x14ac:dyDescent="0.25">
      <c r="A158" s="8" t="s">
        <v>283</v>
      </c>
    </row>
    <row r="159" spans="1:1" ht="45" x14ac:dyDescent="0.25">
      <c r="A159" s="8" t="s">
        <v>284</v>
      </c>
    </row>
    <row r="160" spans="1:1" ht="45" x14ac:dyDescent="0.25">
      <c r="A160" s="8" t="s">
        <v>285</v>
      </c>
    </row>
    <row r="161" spans="1:1" ht="45" x14ac:dyDescent="0.25">
      <c r="A161" s="8" t="s">
        <v>286</v>
      </c>
    </row>
    <row r="162" spans="1:1" ht="45" x14ac:dyDescent="0.25">
      <c r="A162" s="8" t="s">
        <v>287</v>
      </c>
    </row>
    <row r="163" spans="1:1" ht="45" x14ac:dyDescent="0.25">
      <c r="A163" s="8" t="s">
        <v>288</v>
      </c>
    </row>
    <row r="164" spans="1:1" ht="45" x14ac:dyDescent="0.25">
      <c r="A164" s="8" t="s">
        <v>289</v>
      </c>
    </row>
    <row r="165" spans="1:1" ht="45" x14ac:dyDescent="0.25">
      <c r="A165" s="8" t="s">
        <v>290</v>
      </c>
    </row>
    <row r="166" spans="1:1" ht="45" x14ac:dyDescent="0.25">
      <c r="A166" s="8" t="s">
        <v>291</v>
      </c>
    </row>
    <row r="167" spans="1:1" ht="45" x14ac:dyDescent="0.25">
      <c r="A167" s="8" t="s">
        <v>292</v>
      </c>
    </row>
    <row r="168" spans="1:1" ht="45" x14ac:dyDescent="0.25">
      <c r="A168" s="8" t="s">
        <v>293</v>
      </c>
    </row>
    <row r="169" spans="1:1" ht="45" x14ac:dyDescent="0.25">
      <c r="A169" s="8" t="s">
        <v>294</v>
      </c>
    </row>
    <row r="170" spans="1:1" ht="45" x14ac:dyDescent="0.25">
      <c r="A170" s="8" t="s">
        <v>295</v>
      </c>
    </row>
    <row r="171" spans="1:1" ht="45" x14ac:dyDescent="0.25">
      <c r="A171" s="8" t="s">
        <v>296</v>
      </c>
    </row>
    <row r="172" spans="1:1" ht="45" x14ac:dyDescent="0.25">
      <c r="A172" s="8" t="s">
        <v>297</v>
      </c>
    </row>
    <row r="173" spans="1:1" ht="45" x14ac:dyDescent="0.25">
      <c r="A173" s="8" t="s">
        <v>298</v>
      </c>
    </row>
    <row r="174" spans="1:1" ht="45" x14ac:dyDescent="0.25">
      <c r="A174" s="8" t="s">
        <v>299</v>
      </c>
    </row>
    <row r="175" spans="1:1" ht="45" x14ac:dyDescent="0.25">
      <c r="A175" s="8" t="s">
        <v>300</v>
      </c>
    </row>
    <row r="176" spans="1:1" ht="45" x14ac:dyDescent="0.25">
      <c r="A176" s="8" t="s">
        <v>301</v>
      </c>
    </row>
    <row r="177" spans="1:1" ht="45" x14ac:dyDescent="0.25">
      <c r="A177" s="8" t="s">
        <v>302</v>
      </c>
    </row>
    <row r="178" spans="1:1" ht="45" x14ac:dyDescent="0.25">
      <c r="A178" s="8" t="s">
        <v>303</v>
      </c>
    </row>
    <row r="179" spans="1:1" ht="45" x14ac:dyDescent="0.25">
      <c r="A179" s="8" t="s">
        <v>304</v>
      </c>
    </row>
    <row r="180" spans="1:1" ht="45" x14ac:dyDescent="0.25">
      <c r="A180" s="8" t="s">
        <v>305</v>
      </c>
    </row>
    <row r="181" spans="1:1" ht="45" x14ac:dyDescent="0.25">
      <c r="A181" s="8" t="s">
        <v>306</v>
      </c>
    </row>
    <row r="182" spans="1:1" ht="45" x14ac:dyDescent="0.25">
      <c r="A182" s="8" t="s">
        <v>307</v>
      </c>
    </row>
    <row r="183" spans="1:1" ht="45" x14ac:dyDescent="0.25">
      <c r="A183" s="8" t="s">
        <v>308</v>
      </c>
    </row>
    <row r="184" spans="1:1" ht="45" x14ac:dyDescent="0.25">
      <c r="A184" s="8" t="s">
        <v>309</v>
      </c>
    </row>
    <row r="185" spans="1:1" ht="45" x14ac:dyDescent="0.25">
      <c r="A185" s="8" t="s">
        <v>310</v>
      </c>
    </row>
    <row r="186" spans="1:1" ht="45" x14ac:dyDescent="0.25">
      <c r="A186" s="8" t="s">
        <v>311</v>
      </c>
    </row>
    <row r="187" spans="1:1" ht="45" x14ac:dyDescent="0.25">
      <c r="A187" s="8" t="s">
        <v>312</v>
      </c>
    </row>
    <row r="188" spans="1:1" ht="45" x14ac:dyDescent="0.25">
      <c r="A188" s="8" t="s">
        <v>313</v>
      </c>
    </row>
    <row r="189" spans="1:1" ht="45" x14ac:dyDescent="0.25">
      <c r="A189" s="8" t="s">
        <v>314</v>
      </c>
    </row>
    <row r="190" spans="1:1" ht="45" x14ac:dyDescent="0.25">
      <c r="A190" s="8" t="s">
        <v>315</v>
      </c>
    </row>
    <row r="191" spans="1:1" ht="45" x14ac:dyDescent="0.25">
      <c r="A191" s="8" t="s">
        <v>316</v>
      </c>
    </row>
    <row r="192" spans="1:1" ht="45" x14ac:dyDescent="0.25">
      <c r="A192" s="8" t="s">
        <v>317</v>
      </c>
    </row>
    <row r="193" spans="1:1" ht="45" x14ac:dyDescent="0.25">
      <c r="A193" s="8" t="s">
        <v>318</v>
      </c>
    </row>
    <row r="194" spans="1:1" ht="45" x14ac:dyDescent="0.25">
      <c r="A194" s="8" t="s">
        <v>319</v>
      </c>
    </row>
    <row r="195" spans="1:1" ht="45" x14ac:dyDescent="0.25">
      <c r="A195" s="8" t="s">
        <v>320</v>
      </c>
    </row>
    <row r="196" spans="1:1" ht="45" x14ac:dyDescent="0.25">
      <c r="A196" s="8" t="s">
        <v>321</v>
      </c>
    </row>
    <row r="197" spans="1:1" ht="45" x14ac:dyDescent="0.25">
      <c r="A197" s="8" t="s">
        <v>322</v>
      </c>
    </row>
    <row r="198" spans="1:1" ht="45" x14ac:dyDescent="0.25">
      <c r="A198" s="8" t="s">
        <v>323</v>
      </c>
    </row>
    <row r="199" spans="1:1" ht="45" x14ac:dyDescent="0.25">
      <c r="A199" s="8" t="s">
        <v>324</v>
      </c>
    </row>
    <row r="200" spans="1:1" ht="45" x14ac:dyDescent="0.25">
      <c r="A200" s="8" t="s">
        <v>325</v>
      </c>
    </row>
    <row r="201" spans="1:1" ht="45" x14ac:dyDescent="0.25">
      <c r="A201" s="8" t="s">
        <v>326</v>
      </c>
    </row>
    <row r="202" spans="1:1" ht="45" x14ac:dyDescent="0.25">
      <c r="A202" s="8" t="s">
        <v>327</v>
      </c>
    </row>
    <row r="203" spans="1:1" ht="45" x14ac:dyDescent="0.25">
      <c r="A203" s="8" t="s">
        <v>328</v>
      </c>
    </row>
    <row r="204" spans="1:1" ht="45" x14ac:dyDescent="0.25">
      <c r="A204" s="8" t="s">
        <v>329</v>
      </c>
    </row>
    <row r="205" spans="1:1" ht="45" x14ac:dyDescent="0.25">
      <c r="A205" s="8" t="s">
        <v>330</v>
      </c>
    </row>
    <row r="206" spans="1:1" ht="45" x14ac:dyDescent="0.25">
      <c r="A206" s="8" t="s">
        <v>331</v>
      </c>
    </row>
    <row r="207" spans="1:1" ht="45" x14ac:dyDescent="0.25">
      <c r="A207" s="8" t="s">
        <v>332</v>
      </c>
    </row>
    <row r="208" spans="1:1" ht="45" x14ac:dyDescent="0.25">
      <c r="A208" s="8" t="s">
        <v>333</v>
      </c>
    </row>
    <row r="209" spans="1:1" ht="45" x14ac:dyDescent="0.25">
      <c r="A209" s="8" t="s">
        <v>334</v>
      </c>
    </row>
    <row r="210" spans="1:1" ht="45" x14ac:dyDescent="0.25">
      <c r="A210" s="8" t="s">
        <v>335</v>
      </c>
    </row>
    <row r="211" spans="1:1" ht="45" x14ac:dyDescent="0.25">
      <c r="A211" s="8" t="s">
        <v>336</v>
      </c>
    </row>
    <row r="212" spans="1:1" ht="45" x14ac:dyDescent="0.25">
      <c r="A212" s="8" t="s">
        <v>337</v>
      </c>
    </row>
    <row r="213" spans="1:1" ht="45" x14ac:dyDescent="0.25">
      <c r="A213" s="8" t="s">
        <v>338</v>
      </c>
    </row>
    <row r="214" spans="1:1" ht="45" x14ac:dyDescent="0.25">
      <c r="A214" s="8" t="s">
        <v>339</v>
      </c>
    </row>
    <row r="215" spans="1:1" ht="45" x14ac:dyDescent="0.25">
      <c r="A215" s="8" t="s">
        <v>340</v>
      </c>
    </row>
    <row r="216" spans="1:1" ht="45" x14ac:dyDescent="0.25">
      <c r="A216" s="8" t="s">
        <v>341</v>
      </c>
    </row>
    <row r="217" spans="1:1" ht="45" x14ac:dyDescent="0.25">
      <c r="A217" s="8" t="s">
        <v>342</v>
      </c>
    </row>
    <row r="218" spans="1:1" ht="45" x14ac:dyDescent="0.25">
      <c r="A218" s="8" t="s">
        <v>343</v>
      </c>
    </row>
    <row r="219" spans="1:1" ht="45" x14ac:dyDescent="0.25">
      <c r="A219" s="8" t="s">
        <v>344</v>
      </c>
    </row>
    <row r="220" spans="1:1" ht="45" x14ac:dyDescent="0.25">
      <c r="A220" s="8" t="s">
        <v>345</v>
      </c>
    </row>
    <row r="221" spans="1:1" ht="45" x14ac:dyDescent="0.25">
      <c r="A221" s="8" t="s">
        <v>346</v>
      </c>
    </row>
    <row r="222" spans="1:1" ht="45" x14ac:dyDescent="0.25">
      <c r="A222" s="8" t="s">
        <v>347</v>
      </c>
    </row>
    <row r="223" spans="1:1" ht="45" x14ac:dyDescent="0.25">
      <c r="A223" s="8" t="s">
        <v>348</v>
      </c>
    </row>
    <row r="224" spans="1:1" ht="45" x14ac:dyDescent="0.25">
      <c r="A224" s="8" t="s">
        <v>349</v>
      </c>
    </row>
    <row r="225" spans="1:1" ht="45" x14ac:dyDescent="0.25">
      <c r="A225" s="8" t="s">
        <v>350</v>
      </c>
    </row>
    <row r="226" spans="1:1" ht="45" x14ac:dyDescent="0.25">
      <c r="A226" s="8" t="s">
        <v>351</v>
      </c>
    </row>
    <row r="227" spans="1:1" ht="45" x14ac:dyDescent="0.25">
      <c r="A227" s="8" t="s">
        <v>352</v>
      </c>
    </row>
    <row r="228" spans="1:1" ht="45" x14ac:dyDescent="0.25">
      <c r="A228" s="8" t="s">
        <v>353</v>
      </c>
    </row>
    <row r="229" spans="1:1" ht="45" x14ac:dyDescent="0.25">
      <c r="A229" s="8" t="s">
        <v>354</v>
      </c>
    </row>
    <row r="230" spans="1:1" ht="45" x14ac:dyDescent="0.25">
      <c r="A230" s="8" t="s">
        <v>355</v>
      </c>
    </row>
    <row r="231" spans="1:1" ht="45" x14ac:dyDescent="0.25">
      <c r="A231" s="8" t="s">
        <v>356</v>
      </c>
    </row>
    <row r="232" spans="1:1" ht="45" x14ac:dyDescent="0.25">
      <c r="A232" s="8" t="s">
        <v>357</v>
      </c>
    </row>
    <row r="233" spans="1:1" ht="45" x14ac:dyDescent="0.25">
      <c r="A233" s="8" t="s">
        <v>358</v>
      </c>
    </row>
    <row r="234" spans="1:1" ht="45" x14ac:dyDescent="0.25">
      <c r="A234" s="8" t="s">
        <v>359</v>
      </c>
    </row>
    <row r="235" spans="1:1" ht="45" x14ac:dyDescent="0.25">
      <c r="A235" s="8" t="s">
        <v>360</v>
      </c>
    </row>
    <row r="236" spans="1:1" ht="45" x14ac:dyDescent="0.25">
      <c r="A236" s="8" t="s">
        <v>361</v>
      </c>
    </row>
    <row r="237" spans="1:1" ht="45" x14ac:dyDescent="0.25">
      <c r="A237" s="8" t="s">
        <v>362</v>
      </c>
    </row>
    <row r="238" spans="1:1" ht="45" x14ac:dyDescent="0.25">
      <c r="A238" s="8" t="s">
        <v>363</v>
      </c>
    </row>
    <row r="239" spans="1:1" ht="45" x14ac:dyDescent="0.25">
      <c r="A239" s="8" t="s">
        <v>364</v>
      </c>
    </row>
    <row r="240" spans="1:1" ht="45" x14ac:dyDescent="0.25">
      <c r="A240" s="8" t="s">
        <v>365</v>
      </c>
    </row>
    <row r="241" spans="1:1" ht="45" x14ac:dyDescent="0.25">
      <c r="A241" s="8" t="s">
        <v>366</v>
      </c>
    </row>
    <row r="242" spans="1:1" ht="45" x14ac:dyDescent="0.25">
      <c r="A242" s="8" t="s">
        <v>367</v>
      </c>
    </row>
    <row r="243" spans="1:1" ht="45" x14ac:dyDescent="0.25">
      <c r="A243" s="8" t="s">
        <v>368</v>
      </c>
    </row>
    <row r="244" spans="1:1" ht="45" x14ac:dyDescent="0.25">
      <c r="A244" s="8" t="s">
        <v>369</v>
      </c>
    </row>
    <row r="245" spans="1:1" ht="45" x14ac:dyDescent="0.25">
      <c r="A245" s="8" t="s">
        <v>370</v>
      </c>
    </row>
    <row r="246" spans="1:1" ht="45" x14ac:dyDescent="0.25">
      <c r="A246" s="8" t="s">
        <v>371</v>
      </c>
    </row>
    <row r="247" spans="1:1" ht="45" x14ac:dyDescent="0.25">
      <c r="A247" s="8" t="s">
        <v>372</v>
      </c>
    </row>
    <row r="248" spans="1:1" ht="45" x14ac:dyDescent="0.25">
      <c r="A248" s="8" t="s">
        <v>373</v>
      </c>
    </row>
    <row r="249" spans="1:1" ht="45" x14ac:dyDescent="0.25">
      <c r="A249" s="8" t="s">
        <v>374</v>
      </c>
    </row>
    <row r="250" spans="1:1" ht="45" x14ac:dyDescent="0.25">
      <c r="A250" s="8" t="s">
        <v>375</v>
      </c>
    </row>
    <row r="251" spans="1:1" ht="45" x14ac:dyDescent="0.25">
      <c r="A251" s="8" t="s">
        <v>376</v>
      </c>
    </row>
    <row r="252" spans="1:1" ht="45" x14ac:dyDescent="0.25">
      <c r="A252" s="8" t="s">
        <v>377</v>
      </c>
    </row>
    <row r="253" spans="1:1" ht="45" x14ac:dyDescent="0.25">
      <c r="A253" s="8" t="s">
        <v>378</v>
      </c>
    </row>
    <row r="254" spans="1:1" ht="45" x14ac:dyDescent="0.25">
      <c r="A254" s="8" t="s">
        <v>379</v>
      </c>
    </row>
    <row r="255" spans="1:1" ht="45" x14ac:dyDescent="0.25">
      <c r="A255" s="8" t="s">
        <v>380</v>
      </c>
    </row>
    <row r="256" spans="1:1" ht="45" x14ac:dyDescent="0.25">
      <c r="A256" s="8" t="s">
        <v>381</v>
      </c>
    </row>
    <row r="257" spans="1:1" ht="45" x14ac:dyDescent="0.25">
      <c r="A257" s="8" t="s">
        <v>382</v>
      </c>
    </row>
    <row r="258" spans="1:1" ht="45" x14ac:dyDescent="0.25">
      <c r="A258" s="8" t="s">
        <v>383</v>
      </c>
    </row>
    <row r="259" spans="1:1" ht="45" x14ac:dyDescent="0.25">
      <c r="A259" s="8" t="s">
        <v>384</v>
      </c>
    </row>
    <row r="260" spans="1:1" ht="45" x14ac:dyDescent="0.25">
      <c r="A260" s="8" t="s">
        <v>385</v>
      </c>
    </row>
    <row r="261" spans="1:1" ht="45" x14ac:dyDescent="0.25">
      <c r="A261" s="8" t="s">
        <v>386</v>
      </c>
    </row>
    <row r="262" spans="1:1" ht="45" x14ac:dyDescent="0.25">
      <c r="A262" s="8" t="s">
        <v>387</v>
      </c>
    </row>
    <row r="263" spans="1:1" ht="45" x14ac:dyDescent="0.25">
      <c r="A263" s="8" t="s">
        <v>388</v>
      </c>
    </row>
    <row r="264" spans="1:1" ht="45" x14ac:dyDescent="0.25">
      <c r="A264" s="8" t="s">
        <v>389</v>
      </c>
    </row>
    <row r="265" spans="1:1" ht="45" x14ac:dyDescent="0.25">
      <c r="A265" s="8" t="s">
        <v>390</v>
      </c>
    </row>
    <row r="266" spans="1:1" ht="60" x14ac:dyDescent="0.25">
      <c r="A266" s="8" t="s">
        <v>391</v>
      </c>
    </row>
    <row r="267" spans="1:1" ht="45" x14ac:dyDescent="0.25">
      <c r="A267" s="8" t="s">
        <v>392</v>
      </c>
    </row>
    <row r="268" spans="1:1" ht="45" x14ac:dyDescent="0.25">
      <c r="A268" s="8" t="s">
        <v>393</v>
      </c>
    </row>
    <row r="269" spans="1:1" ht="45" x14ac:dyDescent="0.25">
      <c r="A269" s="8" t="s">
        <v>394</v>
      </c>
    </row>
    <row r="270" spans="1:1" ht="45" x14ac:dyDescent="0.25">
      <c r="A270" s="8" t="s">
        <v>395</v>
      </c>
    </row>
    <row r="271" spans="1:1" ht="45" x14ac:dyDescent="0.25">
      <c r="A271" s="8" t="s">
        <v>396</v>
      </c>
    </row>
    <row r="272" spans="1:1" ht="45" x14ac:dyDescent="0.25">
      <c r="A272" s="8" t="s">
        <v>397</v>
      </c>
    </row>
    <row r="273" spans="1:1" ht="45" x14ac:dyDescent="0.25">
      <c r="A273" s="8" t="s">
        <v>398</v>
      </c>
    </row>
    <row r="274" spans="1:1" ht="45" x14ac:dyDescent="0.25">
      <c r="A274" s="8" t="s">
        <v>399</v>
      </c>
    </row>
    <row r="275" spans="1:1" ht="45" x14ac:dyDescent="0.25">
      <c r="A275" s="8" t="s">
        <v>400</v>
      </c>
    </row>
    <row r="276" spans="1:1" ht="45" x14ac:dyDescent="0.25">
      <c r="A276" s="8" t="s">
        <v>401</v>
      </c>
    </row>
    <row r="277" spans="1:1" ht="45" x14ac:dyDescent="0.25">
      <c r="A277" s="8" t="s">
        <v>402</v>
      </c>
    </row>
    <row r="278" spans="1:1" ht="45" x14ac:dyDescent="0.25">
      <c r="A278" s="8" t="s">
        <v>403</v>
      </c>
    </row>
    <row r="279" spans="1:1" ht="45" x14ac:dyDescent="0.25">
      <c r="A279" s="8" t="s">
        <v>404</v>
      </c>
    </row>
    <row r="280" spans="1:1" ht="60" x14ac:dyDescent="0.25">
      <c r="A280" s="8" t="s">
        <v>405</v>
      </c>
    </row>
    <row r="281" spans="1:1" ht="45" x14ac:dyDescent="0.25">
      <c r="A281" s="8" t="s">
        <v>406</v>
      </c>
    </row>
    <row r="282" spans="1:1" ht="45" x14ac:dyDescent="0.25">
      <c r="A282" s="8" t="s">
        <v>407</v>
      </c>
    </row>
    <row r="283" spans="1:1" ht="45" x14ac:dyDescent="0.25">
      <c r="A283" s="8" t="s">
        <v>408</v>
      </c>
    </row>
    <row r="284" spans="1:1" ht="45" x14ac:dyDescent="0.25">
      <c r="A284" s="8" t="s">
        <v>409</v>
      </c>
    </row>
    <row r="285" spans="1:1" ht="45" x14ac:dyDescent="0.25">
      <c r="A285" s="8" t="s">
        <v>410</v>
      </c>
    </row>
    <row r="286" spans="1:1" ht="60" x14ac:dyDescent="0.25">
      <c r="A286" s="8" t="s">
        <v>411</v>
      </c>
    </row>
    <row r="287" spans="1:1" ht="60" x14ac:dyDescent="0.25">
      <c r="A287" s="8" t="s">
        <v>412</v>
      </c>
    </row>
    <row r="288" spans="1:1" ht="60" x14ac:dyDescent="0.25">
      <c r="A288" s="8" t="s">
        <v>413</v>
      </c>
    </row>
    <row r="289" spans="1:1" ht="60" x14ac:dyDescent="0.25">
      <c r="A289" s="8" t="s">
        <v>414</v>
      </c>
    </row>
    <row r="290" spans="1:1" ht="60" x14ac:dyDescent="0.25">
      <c r="A290" s="8" t="s">
        <v>415</v>
      </c>
    </row>
    <row r="291" spans="1:1" ht="60" x14ac:dyDescent="0.25">
      <c r="A291" s="8" t="s">
        <v>416</v>
      </c>
    </row>
    <row r="292" spans="1:1" ht="60" x14ac:dyDescent="0.25">
      <c r="A292" s="8" t="s">
        <v>417</v>
      </c>
    </row>
    <row r="293" spans="1:1" ht="60" x14ac:dyDescent="0.25">
      <c r="A293" s="8" t="s">
        <v>418</v>
      </c>
    </row>
    <row r="294" spans="1:1" ht="60" x14ac:dyDescent="0.25">
      <c r="A294" s="8" t="s">
        <v>419</v>
      </c>
    </row>
    <row r="295" spans="1:1" ht="60" x14ac:dyDescent="0.25">
      <c r="A295" s="8" t="s">
        <v>420</v>
      </c>
    </row>
    <row r="296" spans="1:1" ht="60" x14ac:dyDescent="0.25">
      <c r="A296" s="8" t="s">
        <v>421</v>
      </c>
    </row>
    <row r="297" spans="1:1" ht="60" x14ac:dyDescent="0.25">
      <c r="A297" s="8" t="s">
        <v>422</v>
      </c>
    </row>
    <row r="298" spans="1:1" ht="60" x14ac:dyDescent="0.25">
      <c r="A298" s="8" t="s">
        <v>423</v>
      </c>
    </row>
    <row r="299" spans="1:1" ht="60" x14ac:dyDescent="0.25">
      <c r="A299" s="8" t="s">
        <v>424</v>
      </c>
    </row>
    <row r="300" spans="1:1" ht="60" x14ac:dyDescent="0.25">
      <c r="A300" s="8" t="s">
        <v>425</v>
      </c>
    </row>
    <row r="301" spans="1:1" ht="60" x14ac:dyDescent="0.25">
      <c r="A301" s="8" t="s">
        <v>426</v>
      </c>
    </row>
    <row r="302" spans="1:1" ht="60" x14ac:dyDescent="0.25">
      <c r="A302" s="8" t="s">
        <v>427</v>
      </c>
    </row>
    <row r="303" spans="1:1" ht="60" x14ac:dyDescent="0.25">
      <c r="A303" s="8" t="s">
        <v>428</v>
      </c>
    </row>
    <row r="304" spans="1:1" ht="60" x14ac:dyDescent="0.25">
      <c r="A304" s="8" t="s">
        <v>429</v>
      </c>
    </row>
    <row r="305" spans="1:1" ht="60" x14ac:dyDescent="0.25">
      <c r="A305" s="8" t="s">
        <v>430</v>
      </c>
    </row>
    <row r="306" spans="1:1" ht="60" x14ac:dyDescent="0.25">
      <c r="A306" s="8" t="s">
        <v>431</v>
      </c>
    </row>
    <row r="307" spans="1:1" ht="60" x14ac:dyDescent="0.25">
      <c r="A307" s="8" t="s">
        <v>432</v>
      </c>
    </row>
    <row r="308" spans="1:1" ht="60" x14ac:dyDescent="0.25">
      <c r="A308" s="8" t="s">
        <v>433</v>
      </c>
    </row>
    <row r="309" spans="1:1" ht="60" x14ac:dyDescent="0.25">
      <c r="A309" s="8" t="s">
        <v>434</v>
      </c>
    </row>
    <row r="310" spans="1:1" ht="60" x14ac:dyDescent="0.25">
      <c r="A310" s="8" t="s">
        <v>435</v>
      </c>
    </row>
    <row r="311" spans="1:1" ht="60" x14ac:dyDescent="0.25">
      <c r="A311" s="8" t="s">
        <v>436</v>
      </c>
    </row>
    <row r="312" spans="1:1" ht="45" x14ac:dyDescent="0.25">
      <c r="A312" s="8" t="s">
        <v>437</v>
      </c>
    </row>
    <row r="313" spans="1:1" ht="60" x14ac:dyDescent="0.25">
      <c r="A313" s="8" t="s">
        <v>438</v>
      </c>
    </row>
    <row r="314" spans="1:1" ht="45" x14ac:dyDescent="0.25">
      <c r="A314" s="8" t="s">
        <v>439</v>
      </c>
    </row>
    <row r="315" spans="1:1" ht="45" x14ac:dyDescent="0.25">
      <c r="A315" s="8" t="s">
        <v>440</v>
      </c>
    </row>
    <row r="316" spans="1:1" ht="45" x14ac:dyDescent="0.25">
      <c r="A316" s="8" t="s">
        <v>441</v>
      </c>
    </row>
    <row r="317" spans="1:1" ht="45" x14ac:dyDescent="0.25">
      <c r="A317" s="8" t="s">
        <v>442</v>
      </c>
    </row>
    <row r="318" spans="1:1" ht="45" x14ac:dyDescent="0.25">
      <c r="A318" s="8" t="s">
        <v>443</v>
      </c>
    </row>
    <row r="319" spans="1:1" ht="45" x14ac:dyDescent="0.25">
      <c r="A319" s="8" t="s">
        <v>444</v>
      </c>
    </row>
  </sheetData>
  <sheetProtection password="C93C" sheet="1" formatCells="0" formatColumns="0" formatRows="0" autoFilter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0"/>
  <sheetViews>
    <sheetView showGridLines="0" tabSelected="1" workbookViewId="0">
      <pane ySplit="9" topLeftCell="A10" activePane="bottomLeft" state="frozen"/>
      <selection pane="bottomLeft" activeCell="W16" sqref="W16"/>
    </sheetView>
  </sheetViews>
  <sheetFormatPr defaultRowHeight="15" x14ac:dyDescent="0.25"/>
  <cols>
    <col min="1" max="1" width="15" customWidth="1"/>
    <col min="2" max="2" width="20" customWidth="1"/>
    <col min="3" max="3" width="30" customWidth="1"/>
    <col min="4" max="9" width="20" customWidth="1"/>
    <col min="10" max="10" width="30" customWidth="1"/>
    <col min="11" max="13" width="20" customWidth="1"/>
    <col min="14" max="17" width="30" customWidth="1"/>
    <col min="18" max="18" width="40" customWidth="1"/>
    <col min="19" max="20" width="20" customWidth="1"/>
    <col min="21" max="21" width="30" customWidth="1"/>
    <col min="22" max="22" width="20" customWidth="1"/>
    <col min="23" max="23" width="30" customWidth="1"/>
    <col min="24" max="26" width="20" customWidth="1"/>
  </cols>
  <sheetData>
    <row r="1" spans="1:26" ht="17.25" x14ac:dyDescent="0.3">
      <c r="A1" s="29" t="s">
        <v>445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8"/>
    </row>
    <row r="3" spans="1:26" x14ac:dyDescent="0.25">
      <c r="A3" s="30" t="s">
        <v>446</v>
      </c>
      <c r="B3" s="31"/>
      <c r="C3" s="31"/>
      <c r="D3" s="9"/>
      <c r="E3" s="10"/>
      <c r="F3" s="4" t="s">
        <v>447</v>
      </c>
    </row>
    <row r="4" spans="1:26" x14ac:dyDescent="0.25">
      <c r="A4" s="32" t="s">
        <v>448</v>
      </c>
      <c r="B4" s="31"/>
      <c r="C4" s="31"/>
      <c r="D4" s="11"/>
      <c r="E4" s="12"/>
      <c r="F4" s="13" t="s">
        <v>449</v>
      </c>
    </row>
    <row r="5" spans="1:26" x14ac:dyDescent="0.25">
      <c r="A5" s="30" t="s">
        <v>450</v>
      </c>
      <c r="B5" s="31"/>
      <c r="C5" s="31"/>
      <c r="D5" s="9"/>
      <c r="E5" s="10"/>
      <c r="F5" s="4" t="s">
        <v>451</v>
      </c>
    </row>
    <row r="6" spans="1:26" x14ac:dyDescent="0.25">
      <c r="A6" s="32" t="s">
        <v>452</v>
      </c>
      <c r="B6" s="31"/>
      <c r="C6" s="31"/>
      <c r="D6" s="11"/>
      <c r="E6" s="12"/>
      <c r="F6" s="13" t="s">
        <v>453</v>
      </c>
    </row>
    <row r="7" spans="1:26" x14ac:dyDescent="0.25">
      <c r="A7" s="30" t="s">
        <v>454</v>
      </c>
      <c r="B7" s="31"/>
      <c r="C7" s="31"/>
      <c r="D7" s="9"/>
      <c r="E7" s="10"/>
      <c r="F7" s="4" t="s">
        <v>455</v>
      </c>
    </row>
    <row r="9" spans="1:26" ht="80.099999999999994" customHeight="1" x14ac:dyDescent="0.25">
      <c r="A9" s="14" t="s">
        <v>456</v>
      </c>
      <c r="B9" s="14" t="s">
        <v>457</v>
      </c>
      <c r="C9" s="14" t="s">
        <v>458</v>
      </c>
      <c r="D9" s="14" t="s">
        <v>459</v>
      </c>
      <c r="E9" s="14" t="s">
        <v>460</v>
      </c>
      <c r="F9" s="14" t="s">
        <v>461</v>
      </c>
      <c r="G9" s="14" t="s">
        <v>462</v>
      </c>
      <c r="H9" s="14" t="s">
        <v>463</v>
      </c>
      <c r="I9" s="14" t="s">
        <v>464</v>
      </c>
      <c r="J9" s="14" t="s">
        <v>465</v>
      </c>
      <c r="K9" s="14" t="s">
        <v>466</v>
      </c>
      <c r="L9" s="14" t="s">
        <v>467</v>
      </c>
      <c r="M9" s="14" t="s">
        <v>468</v>
      </c>
      <c r="N9" s="14" t="s">
        <v>469</v>
      </c>
      <c r="O9" s="14" t="s">
        <v>470</v>
      </c>
      <c r="P9" s="14" t="s">
        <v>471</v>
      </c>
      <c r="Q9" s="14" t="s">
        <v>472</v>
      </c>
      <c r="R9" s="14" t="s">
        <v>473</v>
      </c>
      <c r="S9" s="14" t="s">
        <v>474</v>
      </c>
      <c r="T9" s="14" t="s">
        <v>475</v>
      </c>
      <c r="U9" s="14" t="s">
        <v>476</v>
      </c>
      <c r="V9" s="14" t="s">
        <v>477</v>
      </c>
      <c r="W9" s="14" t="s">
        <v>478</v>
      </c>
      <c r="X9" s="14" t="s">
        <v>479</v>
      </c>
      <c r="Y9" s="14" t="s">
        <v>480</v>
      </c>
      <c r="Z9" s="14" t="s">
        <v>481</v>
      </c>
    </row>
    <row r="10" spans="1:26" x14ac:dyDescent="0.25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 t="s">
        <v>482</v>
      </c>
      <c r="V10" s="15"/>
      <c r="W10" s="15" t="s">
        <v>482</v>
      </c>
      <c r="X10" s="15"/>
      <c r="Y10" s="15"/>
      <c r="Z10" s="15"/>
    </row>
    <row r="11" spans="1:26" ht="120" x14ac:dyDescent="0.25">
      <c r="A11" s="14"/>
      <c r="B11" s="16" t="s">
        <v>483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 t="s">
        <v>484</v>
      </c>
      <c r="S11" s="16" t="s">
        <v>485</v>
      </c>
      <c r="T11" s="16" t="s">
        <v>486</v>
      </c>
      <c r="U11" s="16"/>
      <c r="V11" s="16" t="s">
        <v>487</v>
      </c>
      <c r="W11" s="16"/>
      <c r="X11" s="16"/>
      <c r="Y11" s="16"/>
      <c r="Z11" s="16"/>
    </row>
    <row r="12" spans="1:26" x14ac:dyDescent="0.25">
      <c r="A12" s="8" t="str">
        <f>IF(AND(COUNTBLANK('Bid Sheet'!$R$12:$R$12)=1,COUNTBLANK('Bid Sheet'!$U$12:$U$12)=1,COUNTBLANK('Bid Sheet'!$W$12:$Z$12)=4),"",IF(OR(COUNTBLANK('Bid Sheet'!$R$12:$R$12)&gt;0,COUNTBLANK('Bid Sheet'!$X$12:$X$12)&gt;0, SUM(COUNTBLANK('Bid Sheet'!$D$3:$E$3), COUNTBLANK('Bid Sheet'!$D$4:$E$4), COUNTBLANK('Bid Sheet'!$D$5:$E$5), COUNTBLANK('Bid Sheet'!$D$6:$E$6), COUNTBLANK('Bid Sheet'!$D$7:$E$7))&gt;0), "No", "Yes"))</f>
        <v/>
      </c>
      <c r="B12" s="8"/>
      <c r="C12" s="8" t="s">
        <v>92</v>
      </c>
      <c r="D12" s="8" t="s">
        <v>488</v>
      </c>
      <c r="E12" s="8" t="s">
        <v>489</v>
      </c>
      <c r="F12" s="8" t="s">
        <v>490</v>
      </c>
      <c r="G12" s="8" t="s">
        <v>491</v>
      </c>
      <c r="H12" s="8" t="s">
        <v>492</v>
      </c>
      <c r="I12" s="8" t="s">
        <v>493</v>
      </c>
      <c r="J12" s="8" t="s">
        <v>494</v>
      </c>
      <c r="K12" s="8" t="s">
        <v>495</v>
      </c>
      <c r="L12" s="17">
        <v>774</v>
      </c>
      <c r="M12" s="8" t="s">
        <v>496</v>
      </c>
      <c r="N12" s="8" t="s">
        <v>497</v>
      </c>
      <c r="O12" s="17">
        <v>330</v>
      </c>
      <c r="P12" s="17">
        <v>15</v>
      </c>
      <c r="Q12" s="18">
        <v>1.3</v>
      </c>
      <c r="R12" s="19"/>
      <c r="S12" s="8" t="s">
        <v>66</v>
      </c>
      <c r="T12" s="8"/>
      <c r="U12" s="10"/>
      <c r="V12" s="8"/>
      <c r="W12" s="10"/>
      <c r="X12" s="9"/>
      <c r="Y12" s="20"/>
      <c r="Z12" s="9"/>
    </row>
    <row r="13" spans="1:26" x14ac:dyDescent="0.25">
      <c r="A13" s="21" t="str">
        <f>IF(AND(COUNTBLANK('Bid Sheet'!$R$13:$R$13)=1,COUNTBLANK('Bid Sheet'!$U$13:$U$13)=1,COUNTBLANK('Bid Sheet'!$W$13:$Z$13)=4),"",IF(OR(COUNTBLANK('Bid Sheet'!$R$13:$R$13)&gt;0,COUNTBLANK('Bid Sheet'!$X$13:$X$13)&gt;0, SUM(COUNTBLANK('Bid Sheet'!$D$3:$E$3), COUNTBLANK('Bid Sheet'!$D$4:$E$4), COUNTBLANK('Bid Sheet'!$D$5:$E$5), COUNTBLANK('Bid Sheet'!$D$6:$E$6), COUNTBLANK('Bid Sheet'!$D$7:$E$7))&gt;0), "No", "Yes"))</f>
        <v/>
      </c>
      <c r="B13" s="21"/>
      <c r="C13" s="21" t="s">
        <v>95</v>
      </c>
      <c r="D13" s="21" t="s">
        <v>488</v>
      </c>
      <c r="E13" s="21" t="s">
        <v>489</v>
      </c>
      <c r="F13" s="21" t="s">
        <v>490</v>
      </c>
      <c r="G13" s="21" t="s">
        <v>491</v>
      </c>
      <c r="H13" s="21" t="s">
        <v>492</v>
      </c>
      <c r="I13" s="21" t="s">
        <v>498</v>
      </c>
      <c r="J13" s="21" t="s">
        <v>499</v>
      </c>
      <c r="K13" s="21" t="s">
        <v>500</v>
      </c>
      <c r="L13" s="22">
        <v>318</v>
      </c>
      <c r="M13" s="21" t="s">
        <v>496</v>
      </c>
      <c r="N13" s="21" t="s">
        <v>497</v>
      </c>
      <c r="O13" s="22">
        <v>132</v>
      </c>
      <c r="P13" s="22">
        <v>102</v>
      </c>
      <c r="Q13" s="23">
        <v>8.5</v>
      </c>
      <c r="R13" s="24"/>
      <c r="S13" s="21" t="s">
        <v>66</v>
      </c>
      <c r="T13" s="21" t="s">
        <v>501</v>
      </c>
      <c r="U13" s="12"/>
      <c r="V13" s="21"/>
      <c r="W13" s="12"/>
      <c r="X13" s="11"/>
      <c r="Y13" s="25"/>
      <c r="Z13" s="11"/>
    </row>
    <row r="14" spans="1:26" x14ac:dyDescent="0.25">
      <c r="A14" s="8" t="str">
        <f>IF(AND(COUNTBLANK('Bid Sheet'!$R$14:$R$14)=1,COUNTBLANK('Bid Sheet'!$U$14:$U$14)=1,COUNTBLANK('Bid Sheet'!$W$14:$Z$14)=4),"",IF(OR(COUNTBLANK('Bid Sheet'!$R$14:$R$14)&gt;0,COUNTBLANK('Bid Sheet'!$X$14:$X$14)&gt;0, SUM(COUNTBLANK('Bid Sheet'!$D$3:$E$3), COUNTBLANK('Bid Sheet'!$D$4:$E$4), COUNTBLANK('Bid Sheet'!$D$5:$E$5), COUNTBLANK('Bid Sheet'!$D$6:$E$6), COUNTBLANK('Bid Sheet'!$D$7:$E$7))&gt;0), "No", "Yes"))</f>
        <v/>
      </c>
      <c r="B14" s="8"/>
      <c r="C14" s="8" t="s">
        <v>99</v>
      </c>
      <c r="D14" s="8" t="s">
        <v>488</v>
      </c>
      <c r="E14" s="8" t="s">
        <v>489</v>
      </c>
      <c r="F14" s="8" t="s">
        <v>502</v>
      </c>
      <c r="G14" s="8" t="s">
        <v>503</v>
      </c>
      <c r="H14" s="8" t="s">
        <v>504</v>
      </c>
      <c r="I14" s="8" t="s">
        <v>505</v>
      </c>
      <c r="J14" s="8" t="s">
        <v>506</v>
      </c>
      <c r="K14" s="8" t="s">
        <v>507</v>
      </c>
      <c r="L14" s="17">
        <v>147</v>
      </c>
      <c r="M14" s="8" t="s">
        <v>496</v>
      </c>
      <c r="N14" s="8" t="s">
        <v>497</v>
      </c>
      <c r="O14" s="17">
        <v>72</v>
      </c>
      <c r="P14" s="17">
        <v>8</v>
      </c>
      <c r="Q14" s="18">
        <v>0.7</v>
      </c>
      <c r="R14" s="19"/>
      <c r="S14" s="8" t="s">
        <v>66</v>
      </c>
      <c r="T14" s="8"/>
      <c r="U14" s="10"/>
      <c r="V14" s="8"/>
      <c r="W14" s="10"/>
      <c r="X14" s="9"/>
      <c r="Y14" s="20"/>
      <c r="Z14" s="9"/>
    </row>
    <row r="15" spans="1:26" x14ac:dyDescent="0.25">
      <c r="A15" s="21" t="str">
        <f>IF(AND(COUNTBLANK('Bid Sheet'!$R$15:$R$15)=1,COUNTBLANK('Bid Sheet'!$U$15:$U$15)=1,COUNTBLANK('Bid Sheet'!$W$15:$Z$15)=4),"",IF(OR(COUNTBLANK('Bid Sheet'!$R$15:$R$15)&gt;0,COUNTBLANK('Bid Sheet'!$X$15:$X$15)&gt;0, SUM(COUNTBLANK('Bid Sheet'!$D$3:$E$3), COUNTBLANK('Bid Sheet'!$D$4:$E$4), COUNTBLANK('Bid Sheet'!$D$5:$E$5), COUNTBLANK('Bid Sheet'!$D$6:$E$6), COUNTBLANK('Bid Sheet'!$D$7:$E$7))&gt;0), "No", "Yes"))</f>
        <v/>
      </c>
      <c r="B15" s="21"/>
      <c r="C15" s="21" t="s">
        <v>101</v>
      </c>
      <c r="D15" s="21" t="s">
        <v>488</v>
      </c>
      <c r="E15" s="21" t="s">
        <v>489</v>
      </c>
      <c r="F15" s="21" t="s">
        <v>490</v>
      </c>
      <c r="G15" s="21" t="s">
        <v>491</v>
      </c>
      <c r="H15" s="21" t="s">
        <v>492</v>
      </c>
      <c r="I15" s="21" t="s">
        <v>508</v>
      </c>
      <c r="J15" s="21" t="s">
        <v>509</v>
      </c>
      <c r="K15" s="21" t="s">
        <v>495</v>
      </c>
      <c r="L15" s="22">
        <v>721</v>
      </c>
      <c r="M15" s="21" t="s">
        <v>496</v>
      </c>
      <c r="N15" s="21" t="s">
        <v>497</v>
      </c>
      <c r="O15" s="22">
        <v>308</v>
      </c>
      <c r="P15" s="22">
        <v>24</v>
      </c>
      <c r="Q15" s="23">
        <v>2</v>
      </c>
      <c r="R15" s="24"/>
      <c r="S15" s="21" t="s">
        <v>66</v>
      </c>
      <c r="T15" s="21"/>
      <c r="U15" s="12"/>
      <c r="V15" s="21"/>
      <c r="W15" s="12"/>
      <c r="X15" s="11"/>
      <c r="Y15" s="25"/>
      <c r="Z15" s="11"/>
    </row>
    <row r="16" spans="1:26" x14ac:dyDescent="0.25">
      <c r="A16" s="8" t="str">
        <f>IF(AND(COUNTBLANK('Bid Sheet'!$R$16:$R$16)=1,COUNTBLANK('Bid Sheet'!$U$16:$U$16)=1,COUNTBLANK('Bid Sheet'!$W$16:$Z$16)=4),"",IF(OR(COUNTBLANK('Bid Sheet'!$R$16:$R$16)&gt;0,COUNTBLANK('Bid Sheet'!$X$16:$X$16)&gt;0, SUM(COUNTBLANK('Bid Sheet'!$D$3:$E$3), COUNTBLANK('Bid Sheet'!$D$4:$E$4), COUNTBLANK('Bid Sheet'!$D$5:$E$5), COUNTBLANK('Bid Sheet'!$D$6:$E$6), COUNTBLANK('Bid Sheet'!$D$7:$E$7))&gt;0), "No", "Yes"))</f>
        <v/>
      </c>
      <c r="B16" s="8"/>
      <c r="C16" s="8" t="s">
        <v>103</v>
      </c>
      <c r="D16" s="8" t="s">
        <v>488</v>
      </c>
      <c r="E16" s="8" t="s">
        <v>489</v>
      </c>
      <c r="F16" s="8" t="s">
        <v>490</v>
      </c>
      <c r="G16" s="8" t="s">
        <v>491</v>
      </c>
      <c r="H16" s="8" t="s">
        <v>492</v>
      </c>
      <c r="I16" s="8" t="s">
        <v>510</v>
      </c>
      <c r="J16" s="8" t="s">
        <v>511</v>
      </c>
      <c r="K16" s="8" t="s">
        <v>495</v>
      </c>
      <c r="L16" s="17">
        <v>707</v>
      </c>
      <c r="M16" s="8" t="s">
        <v>496</v>
      </c>
      <c r="N16" s="8" t="s">
        <v>497</v>
      </c>
      <c r="O16" s="17">
        <v>305</v>
      </c>
      <c r="P16" s="17">
        <v>6</v>
      </c>
      <c r="Q16" s="18">
        <v>0.5</v>
      </c>
      <c r="R16" s="19"/>
      <c r="S16" s="8" t="s">
        <v>66</v>
      </c>
      <c r="T16" s="8"/>
      <c r="U16" s="10"/>
      <c r="V16" s="8"/>
      <c r="W16" s="10"/>
      <c r="X16" s="9"/>
      <c r="Y16" s="20"/>
      <c r="Z16" s="9"/>
    </row>
    <row r="17" spans="1:26" x14ac:dyDescent="0.25">
      <c r="A17" s="21" t="str">
        <f>IF(AND(COUNTBLANK('Bid Sheet'!$R$17:$R$17)=1,COUNTBLANK('Bid Sheet'!$U$17:$U$17)=1,COUNTBLANK('Bid Sheet'!$W$17:$Z$17)=4),"",IF(OR(COUNTBLANK('Bid Sheet'!$R$17:$R$17)&gt;0,COUNTBLANK('Bid Sheet'!$X$17:$X$17)&gt;0, SUM(COUNTBLANK('Bid Sheet'!$D$3:$E$3), COUNTBLANK('Bid Sheet'!$D$4:$E$4), COUNTBLANK('Bid Sheet'!$D$5:$E$5), COUNTBLANK('Bid Sheet'!$D$6:$E$6), COUNTBLANK('Bid Sheet'!$D$7:$E$7))&gt;0), "No", "Yes"))</f>
        <v/>
      </c>
      <c r="B17" s="21"/>
      <c r="C17" s="21" t="s">
        <v>105</v>
      </c>
      <c r="D17" s="21" t="s">
        <v>488</v>
      </c>
      <c r="E17" s="21" t="s">
        <v>489</v>
      </c>
      <c r="F17" s="21" t="s">
        <v>490</v>
      </c>
      <c r="G17" s="21" t="s">
        <v>491</v>
      </c>
      <c r="H17" s="21" t="s">
        <v>492</v>
      </c>
      <c r="I17" s="21" t="s">
        <v>512</v>
      </c>
      <c r="J17" s="21" t="s">
        <v>513</v>
      </c>
      <c r="K17" s="21" t="s">
        <v>495</v>
      </c>
      <c r="L17" s="22">
        <v>759</v>
      </c>
      <c r="M17" s="21" t="s">
        <v>496</v>
      </c>
      <c r="N17" s="21" t="s">
        <v>497</v>
      </c>
      <c r="O17" s="22">
        <v>317</v>
      </c>
      <c r="P17" s="22">
        <v>12</v>
      </c>
      <c r="Q17" s="23">
        <v>1</v>
      </c>
      <c r="R17" s="24"/>
      <c r="S17" s="21" t="s">
        <v>66</v>
      </c>
      <c r="T17" s="21"/>
      <c r="U17" s="12"/>
      <c r="V17" s="21"/>
      <c r="W17" s="12"/>
      <c r="X17" s="11"/>
      <c r="Y17" s="25"/>
      <c r="Z17" s="11"/>
    </row>
    <row r="18" spans="1:26" x14ac:dyDescent="0.25">
      <c r="A18" s="8" t="str">
        <f>IF(AND(COUNTBLANK('Bid Sheet'!$R$18:$R$18)=1,COUNTBLANK('Bid Sheet'!$U$18:$U$18)=1,COUNTBLANK('Bid Sheet'!$W$18:$Z$18)=4),"",IF(OR(COUNTBLANK('Bid Sheet'!$R$18:$R$18)&gt;0,COUNTBLANK('Bid Sheet'!$X$18:$X$18)&gt;0, SUM(COUNTBLANK('Bid Sheet'!$D$3:$E$3), COUNTBLANK('Bid Sheet'!$D$4:$E$4), COUNTBLANK('Bid Sheet'!$D$5:$E$5), COUNTBLANK('Bid Sheet'!$D$6:$E$6), COUNTBLANK('Bid Sheet'!$D$7:$E$7))&gt;0), "No", "Yes"))</f>
        <v/>
      </c>
      <c r="B18" s="8"/>
      <c r="C18" s="8" t="s">
        <v>107</v>
      </c>
      <c r="D18" s="8" t="s">
        <v>488</v>
      </c>
      <c r="E18" s="8" t="s">
        <v>489</v>
      </c>
      <c r="F18" s="8" t="s">
        <v>490</v>
      </c>
      <c r="G18" s="8" t="s">
        <v>491</v>
      </c>
      <c r="H18" s="8" t="s">
        <v>492</v>
      </c>
      <c r="I18" s="8" t="s">
        <v>514</v>
      </c>
      <c r="J18" s="8" t="s">
        <v>515</v>
      </c>
      <c r="K18" s="8" t="s">
        <v>495</v>
      </c>
      <c r="L18" s="17">
        <v>859</v>
      </c>
      <c r="M18" s="8" t="s">
        <v>496</v>
      </c>
      <c r="N18" s="8" t="s">
        <v>497</v>
      </c>
      <c r="O18" s="17">
        <v>369</v>
      </c>
      <c r="P18" s="17">
        <v>98</v>
      </c>
      <c r="Q18" s="18">
        <v>8.1999999999999993</v>
      </c>
      <c r="R18" s="19"/>
      <c r="S18" s="8" t="s">
        <v>66</v>
      </c>
      <c r="T18" s="8" t="s">
        <v>501</v>
      </c>
      <c r="U18" s="10"/>
      <c r="V18" s="8"/>
      <c r="W18" s="10"/>
      <c r="X18" s="9"/>
      <c r="Y18" s="20"/>
      <c r="Z18" s="9"/>
    </row>
    <row r="19" spans="1:26" x14ac:dyDescent="0.25">
      <c r="A19" s="21" t="str">
        <f>IF(AND(COUNTBLANK('Bid Sheet'!$R$19:$R$19)=1,COUNTBLANK('Bid Sheet'!$U$19:$U$19)=1,COUNTBLANK('Bid Sheet'!$W$19:$Z$19)=4),"",IF(OR(COUNTBLANK('Bid Sheet'!$R$19:$R$19)&gt;0,COUNTBLANK('Bid Sheet'!$X$19:$X$19)&gt;0, SUM(COUNTBLANK('Bid Sheet'!$D$3:$E$3), COUNTBLANK('Bid Sheet'!$D$4:$E$4), COUNTBLANK('Bid Sheet'!$D$5:$E$5), COUNTBLANK('Bid Sheet'!$D$6:$E$6), COUNTBLANK('Bid Sheet'!$D$7:$E$7))&gt;0), "No", "Yes"))</f>
        <v/>
      </c>
      <c r="B19" s="21"/>
      <c r="C19" s="21" t="s">
        <v>109</v>
      </c>
      <c r="D19" s="21" t="s">
        <v>488</v>
      </c>
      <c r="E19" s="21" t="s">
        <v>489</v>
      </c>
      <c r="F19" s="21" t="s">
        <v>490</v>
      </c>
      <c r="G19" s="21" t="s">
        <v>491</v>
      </c>
      <c r="H19" s="21" t="s">
        <v>492</v>
      </c>
      <c r="I19" s="21" t="s">
        <v>516</v>
      </c>
      <c r="J19" s="21" t="s">
        <v>517</v>
      </c>
      <c r="K19" s="21" t="s">
        <v>495</v>
      </c>
      <c r="L19" s="22">
        <v>796</v>
      </c>
      <c r="M19" s="21" t="s">
        <v>496</v>
      </c>
      <c r="N19" s="21" t="s">
        <v>497</v>
      </c>
      <c r="O19" s="22">
        <v>344</v>
      </c>
      <c r="P19" s="22">
        <v>54</v>
      </c>
      <c r="Q19" s="23">
        <v>4.5</v>
      </c>
      <c r="R19" s="24"/>
      <c r="S19" s="21" t="s">
        <v>66</v>
      </c>
      <c r="T19" s="21"/>
      <c r="U19" s="12"/>
      <c r="V19" s="21"/>
      <c r="W19" s="12"/>
      <c r="X19" s="11"/>
      <c r="Y19" s="25"/>
      <c r="Z19" s="11"/>
    </row>
    <row r="20" spans="1:26" x14ac:dyDescent="0.25">
      <c r="A20" s="8" t="str">
        <f>IF(AND(COUNTBLANK('Bid Sheet'!$R$20:$R$20)=1,COUNTBLANK('Bid Sheet'!$U$20:$U$20)=1,COUNTBLANK('Bid Sheet'!$W$20:$Z$20)=4),"",IF(OR(COUNTBLANK('Bid Sheet'!$R$20:$R$20)&gt;0,COUNTBLANK('Bid Sheet'!$X$20:$X$20)&gt;0, SUM(COUNTBLANK('Bid Sheet'!$D$3:$E$3), COUNTBLANK('Bid Sheet'!$D$4:$E$4), COUNTBLANK('Bid Sheet'!$D$5:$E$5), COUNTBLANK('Bid Sheet'!$D$6:$E$6), COUNTBLANK('Bid Sheet'!$D$7:$E$7))&gt;0), "No", "Yes"))</f>
        <v/>
      </c>
      <c r="B20" s="8"/>
      <c r="C20" s="8" t="s">
        <v>111</v>
      </c>
      <c r="D20" s="8" t="s">
        <v>488</v>
      </c>
      <c r="E20" s="8" t="s">
        <v>489</v>
      </c>
      <c r="F20" s="8" t="s">
        <v>490</v>
      </c>
      <c r="G20" s="8" t="s">
        <v>491</v>
      </c>
      <c r="H20" s="8" t="s">
        <v>492</v>
      </c>
      <c r="I20" s="8" t="s">
        <v>518</v>
      </c>
      <c r="J20" s="8" t="s">
        <v>519</v>
      </c>
      <c r="K20" s="8" t="s">
        <v>495</v>
      </c>
      <c r="L20" s="17">
        <v>821</v>
      </c>
      <c r="M20" s="8" t="s">
        <v>496</v>
      </c>
      <c r="N20" s="8" t="s">
        <v>497</v>
      </c>
      <c r="O20" s="17">
        <v>353</v>
      </c>
      <c r="P20" s="17">
        <v>104</v>
      </c>
      <c r="Q20" s="18">
        <v>8.6999999999999993</v>
      </c>
      <c r="R20" s="19"/>
      <c r="S20" s="8" t="s">
        <v>66</v>
      </c>
      <c r="T20" s="8" t="s">
        <v>501</v>
      </c>
      <c r="U20" s="10"/>
      <c r="V20" s="8"/>
      <c r="W20" s="10"/>
      <c r="X20" s="9"/>
      <c r="Y20" s="20"/>
      <c r="Z20" s="9"/>
    </row>
    <row r="21" spans="1:26" x14ac:dyDescent="0.25">
      <c r="A21" s="21" t="str">
        <f>IF(AND(COUNTBLANK('Bid Sheet'!$R$21:$R$21)=1,COUNTBLANK('Bid Sheet'!$U$21:$U$21)=1,COUNTBLANK('Bid Sheet'!$W$21:$Z$21)=4),"",IF(OR(COUNTBLANK('Bid Sheet'!$R$21:$R$21)&gt;0,COUNTBLANK('Bid Sheet'!$X$21:$X$21)&gt;0, SUM(COUNTBLANK('Bid Sheet'!$D$3:$E$3), COUNTBLANK('Bid Sheet'!$D$4:$E$4), COUNTBLANK('Bid Sheet'!$D$5:$E$5), COUNTBLANK('Bid Sheet'!$D$6:$E$6), COUNTBLANK('Bid Sheet'!$D$7:$E$7))&gt;0), "No", "Yes"))</f>
        <v/>
      </c>
      <c r="B21" s="21"/>
      <c r="C21" s="21" t="s">
        <v>113</v>
      </c>
      <c r="D21" s="21" t="s">
        <v>488</v>
      </c>
      <c r="E21" s="21" t="s">
        <v>489</v>
      </c>
      <c r="F21" s="21" t="s">
        <v>490</v>
      </c>
      <c r="G21" s="21" t="s">
        <v>491</v>
      </c>
      <c r="H21" s="21" t="s">
        <v>492</v>
      </c>
      <c r="I21" s="21" t="s">
        <v>520</v>
      </c>
      <c r="J21" s="21" t="s">
        <v>521</v>
      </c>
      <c r="K21" s="21" t="s">
        <v>500</v>
      </c>
      <c r="L21" s="22">
        <v>420</v>
      </c>
      <c r="M21" s="21" t="s">
        <v>496</v>
      </c>
      <c r="N21" s="21" t="s">
        <v>497</v>
      </c>
      <c r="O21" s="22">
        <v>170</v>
      </c>
      <c r="P21" s="22">
        <v>11</v>
      </c>
      <c r="Q21" s="23">
        <v>0.9</v>
      </c>
      <c r="R21" s="24"/>
      <c r="S21" s="21" t="s">
        <v>66</v>
      </c>
      <c r="T21" s="21"/>
      <c r="U21" s="12"/>
      <c r="V21" s="21"/>
      <c r="W21" s="12"/>
      <c r="X21" s="11"/>
      <c r="Y21" s="25"/>
      <c r="Z21" s="11"/>
    </row>
    <row r="22" spans="1:26" x14ac:dyDescent="0.25">
      <c r="A22" s="8" t="str">
        <f>IF(AND(COUNTBLANK('Bid Sheet'!$R$22:$R$22)=1,COUNTBLANK('Bid Sheet'!$U$22:$U$22)=1,COUNTBLANK('Bid Sheet'!$W$22:$Z$22)=4),"",IF(OR(COUNTBLANK('Bid Sheet'!$R$22:$R$22)&gt;0,COUNTBLANK('Bid Sheet'!$X$22:$X$22)&gt;0, SUM(COUNTBLANK('Bid Sheet'!$D$3:$E$3), COUNTBLANK('Bid Sheet'!$D$4:$E$4), COUNTBLANK('Bid Sheet'!$D$5:$E$5), COUNTBLANK('Bid Sheet'!$D$6:$E$6), COUNTBLANK('Bid Sheet'!$D$7:$E$7))&gt;0), "No", "Yes"))</f>
        <v/>
      </c>
      <c r="B22" s="8"/>
      <c r="C22" s="8" t="s">
        <v>115</v>
      </c>
      <c r="D22" s="8" t="s">
        <v>488</v>
      </c>
      <c r="E22" s="8" t="s">
        <v>489</v>
      </c>
      <c r="F22" s="8" t="s">
        <v>490</v>
      </c>
      <c r="G22" s="8" t="s">
        <v>491</v>
      </c>
      <c r="H22" s="8" t="s">
        <v>492</v>
      </c>
      <c r="I22" s="8" t="s">
        <v>522</v>
      </c>
      <c r="J22" s="8" t="s">
        <v>523</v>
      </c>
      <c r="K22" s="8" t="s">
        <v>524</v>
      </c>
      <c r="L22" s="17">
        <v>1179</v>
      </c>
      <c r="M22" s="8" t="s">
        <v>496</v>
      </c>
      <c r="N22" s="8" t="s">
        <v>497</v>
      </c>
      <c r="O22" s="17">
        <v>544</v>
      </c>
      <c r="P22" s="17">
        <v>38</v>
      </c>
      <c r="Q22" s="18">
        <v>3.2</v>
      </c>
      <c r="R22" s="19"/>
      <c r="S22" s="8" t="s">
        <v>66</v>
      </c>
      <c r="T22" s="8"/>
      <c r="U22" s="10"/>
      <c r="V22" s="8"/>
      <c r="W22" s="10"/>
      <c r="X22" s="9"/>
      <c r="Y22" s="20"/>
      <c r="Z22" s="9"/>
    </row>
    <row r="23" spans="1:26" x14ac:dyDescent="0.25">
      <c r="A23" s="21" t="str">
        <f>IF(AND(COUNTBLANK('Bid Sheet'!$R$23:$R$23)=1,COUNTBLANK('Bid Sheet'!$U$23:$U$23)=1,COUNTBLANK('Bid Sheet'!$W$23:$Z$23)=4),"",IF(OR(COUNTBLANK('Bid Sheet'!$R$23:$R$23)&gt;0,COUNTBLANK('Bid Sheet'!$X$23:$X$23)&gt;0, SUM(COUNTBLANK('Bid Sheet'!$D$3:$E$3), COUNTBLANK('Bid Sheet'!$D$4:$E$4), COUNTBLANK('Bid Sheet'!$D$5:$E$5), COUNTBLANK('Bid Sheet'!$D$6:$E$6), COUNTBLANK('Bid Sheet'!$D$7:$E$7))&gt;0), "No", "Yes"))</f>
        <v/>
      </c>
      <c r="B23" s="21"/>
      <c r="C23" s="21" t="s">
        <v>117</v>
      </c>
      <c r="D23" s="21" t="s">
        <v>488</v>
      </c>
      <c r="E23" s="21" t="s">
        <v>489</v>
      </c>
      <c r="F23" s="21" t="s">
        <v>490</v>
      </c>
      <c r="G23" s="21" t="s">
        <v>491</v>
      </c>
      <c r="H23" s="21" t="s">
        <v>492</v>
      </c>
      <c r="I23" s="21" t="s">
        <v>525</v>
      </c>
      <c r="J23" s="21" t="s">
        <v>526</v>
      </c>
      <c r="K23" s="21" t="s">
        <v>524</v>
      </c>
      <c r="L23" s="22">
        <v>1231</v>
      </c>
      <c r="M23" s="21" t="s">
        <v>496</v>
      </c>
      <c r="N23" s="21" t="s">
        <v>497</v>
      </c>
      <c r="O23" s="22">
        <v>543</v>
      </c>
      <c r="P23" s="22">
        <v>142</v>
      </c>
      <c r="Q23" s="23">
        <v>11.8</v>
      </c>
      <c r="R23" s="24"/>
      <c r="S23" s="21" t="s">
        <v>66</v>
      </c>
      <c r="T23" s="21" t="s">
        <v>501</v>
      </c>
      <c r="U23" s="12"/>
      <c r="V23" s="21"/>
      <c r="W23" s="12"/>
      <c r="X23" s="11"/>
      <c r="Y23" s="25"/>
      <c r="Z23" s="11"/>
    </row>
    <row r="24" spans="1:26" x14ac:dyDescent="0.25">
      <c r="A24" s="8" t="str">
        <f>IF(AND(COUNTBLANK('Bid Sheet'!$R$24:$R$24)=1,COUNTBLANK('Bid Sheet'!$U$24:$U$24)=1,COUNTBLANK('Bid Sheet'!$W$24:$Z$24)=4),"",IF(OR(COUNTBLANK('Bid Sheet'!$R$24:$R$24)&gt;0,COUNTBLANK('Bid Sheet'!$X$24:$X$24)&gt;0, SUM(COUNTBLANK('Bid Sheet'!$D$3:$E$3), COUNTBLANK('Bid Sheet'!$D$4:$E$4), COUNTBLANK('Bid Sheet'!$D$5:$E$5), COUNTBLANK('Bid Sheet'!$D$6:$E$6), COUNTBLANK('Bid Sheet'!$D$7:$E$7))&gt;0), "No", "Yes"))</f>
        <v/>
      </c>
      <c r="B24" s="8"/>
      <c r="C24" s="8" t="s">
        <v>119</v>
      </c>
      <c r="D24" s="8" t="s">
        <v>488</v>
      </c>
      <c r="E24" s="8" t="s">
        <v>489</v>
      </c>
      <c r="F24" s="8" t="s">
        <v>490</v>
      </c>
      <c r="G24" s="8" t="s">
        <v>491</v>
      </c>
      <c r="H24" s="8" t="s">
        <v>492</v>
      </c>
      <c r="I24" s="8" t="s">
        <v>527</v>
      </c>
      <c r="J24" s="8" t="s">
        <v>528</v>
      </c>
      <c r="K24" s="8" t="s">
        <v>524</v>
      </c>
      <c r="L24" s="17">
        <v>1171</v>
      </c>
      <c r="M24" s="8" t="s">
        <v>496</v>
      </c>
      <c r="N24" s="8" t="s">
        <v>497</v>
      </c>
      <c r="O24" s="17">
        <v>538</v>
      </c>
      <c r="P24" s="17">
        <v>22</v>
      </c>
      <c r="Q24" s="18">
        <v>1.8</v>
      </c>
      <c r="R24" s="19"/>
      <c r="S24" s="8" t="s">
        <v>66</v>
      </c>
      <c r="T24" s="8"/>
      <c r="U24" s="10"/>
      <c r="V24" s="8"/>
      <c r="W24" s="10"/>
      <c r="X24" s="9"/>
      <c r="Y24" s="20"/>
      <c r="Z24" s="9"/>
    </row>
    <row r="25" spans="1:26" x14ac:dyDescent="0.25">
      <c r="A25" s="21" t="str">
        <f>IF(AND(COUNTBLANK('Bid Sheet'!$R$25:$R$25)=1,COUNTBLANK('Bid Sheet'!$U$25:$U$25)=1,COUNTBLANK('Bid Sheet'!$W$25:$Z$25)=4),"",IF(OR(COUNTBLANK('Bid Sheet'!$R$25:$R$25)&gt;0,COUNTBLANK('Bid Sheet'!$X$25:$X$25)&gt;0, SUM(COUNTBLANK('Bid Sheet'!$D$3:$E$3), COUNTBLANK('Bid Sheet'!$D$4:$E$4), COUNTBLANK('Bid Sheet'!$D$5:$E$5), COUNTBLANK('Bid Sheet'!$D$6:$E$6), COUNTBLANK('Bid Sheet'!$D$7:$E$7))&gt;0), "No", "Yes"))</f>
        <v/>
      </c>
      <c r="B25" s="21"/>
      <c r="C25" s="21" t="s">
        <v>121</v>
      </c>
      <c r="D25" s="21" t="s">
        <v>488</v>
      </c>
      <c r="E25" s="21" t="s">
        <v>489</v>
      </c>
      <c r="F25" s="21" t="s">
        <v>490</v>
      </c>
      <c r="G25" s="21" t="s">
        <v>491</v>
      </c>
      <c r="H25" s="21" t="s">
        <v>492</v>
      </c>
      <c r="I25" s="21" t="s">
        <v>529</v>
      </c>
      <c r="J25" s="21" t="s">
        <v>530</v>
      </c>
      <c r="K25" s="21" t="s">
        <v>524</v>
      </c>
      <c r="L25" s="22">
        <v>1193</v>
      </c>
      <c r="M25" s="21" t="s">
        <v>496</v>
      </c>
      <c r="N25" s="21" t="s">
        <v>497</v>
      </c>
      <c r="O25" s="22">
        <v>549</v>
      </c>
      <c r="P25" s="22">
        <v>133</v>
      </c>
      <c r="Q25" s="23">
        <v>11.1</v>
      </c>
      <c r="R25" s="24"/>
      <c r="S25" s="21" t="s">
        <v>66</v>
      </c>
      <c r="T25" s="21"/>
      <c r="U25" s="12"/>
      <c r="V25" s="21"/>
      <c r="W25" s="12"/>
      <c r="X25" s="11"/>
      <c r="Y25" s="25"/>
      <c r="Z25" s="11"/>
    </row>
    <row r="26" spans="1:26" x14ac:dyDescent="0.25">
      <c r="A26" s="8" t="str">
        <f>IF(AND(COUNTBLANK('Bid Sheet'!$R$26:$R$26)=1,COUNTBLANK('Bid Sheet'!$U$26:$U$26)=1,COUNTBLANK('Bid Sheet'!$W$26:$Z$26)=4),"",IF(OR(COUNTBLANK('Bid Sheet'!$R$26:$R$26)&gt;0,COUNTBLANK('Bid Sheet'!$X$26:$X$26)&gt;0, SUM(COUNTBLANK('Bid Sheet'!$D$3:$E$3), COUNTBLANK('Bid Sheet'!$D$4:$E$4), COUNTBLANK('Bid Sheet'!$D$5:$E$5), COUNTBLANK('Bid Sheet'!$D$6:$E$6), COUNTBLANK('Bid Sheet'!$D$7:$E$7))&gt;0), "No", "Yes"))</f>
        <v/>
      </c>
      <c r="B26" s="8"/>
      <c r="C26" s="8" t="s">
        <v>123</v>
      </c>
      <c r="D26" s="8" t="s">
        <v>488</v>
      </c>
      <c r="E26" s="8" t="s">
        <v>489</v>
      </c>
      <c r="F26" s="8" t="s">
        <v>490</v>
      </c>
      <c r="G26" s="8" t="s">
        <v>491</v>
      </c>
      <c r="H26" s="8" t="s">
        <v>492</v>
      </c>
      <c r="I26" s="8" t="s">
        <v>531</v>
      </c>
      <c r="J26" s="8" t="s">
        <v>532</v>
      </c>
      <c r="K26" s="8" t="s">
        <v>533</v>
      </c>
      <c r="L26" s="17">
        <v>1536</v>
      </c>
      <c r="M26" s="8" t="s">
        <v>496</v>
      </c>
      <c r="N26" s="8" t="s">
        <v>497</v>
      </c>
      <c r="O26" s="17">
        <v>769</v>
      </c>
      <c r="P26" s="17">
        <v>51</v>
      </c>
      <c r="Q26" s="18">
        <v>4.3</v>
      </c>
      <c r="R26" s="19"/>
      <c r="S26" s="8" t="s">
        <v>66</v>
      </c>
      <c r="T26" s="8"/>
      <c r="U26" s="10"/>
      <c r="V26" s="8"/>
      <c r="W26" s="10"/>
      <c r="X26" s="9"/>
      <c r="Y26" s="20"/>
      <c r="Z26" s="9"/>
    </row>
    <row r="27" spans="1:26" x14ac:dyDescent="0.25">
      <c r="A27" s="21" t="str">
        <f>IF(AND(COUNTBLANK('Bid Sheet'!$R$27:$R$27)=1,COUNTBLANK('Bid Sheet'!$U$27:$U$27)=1,COUNTBLANK('Bid Sheet'!$W$27:$Z$27)=4),"",IF(OR(COUNTBLANK('Bid Sheet'!$R$27:$R$27)&gt;0,COUNTBLANK('Bid Sheet'!$X$27:$X$27)&gt;0, SUM(COUNTBLANK('Bid Sheet'!$D$3:$E$3), COUNTBLANK('Bid Sheet'!$D$4:$E$4), COUNTBLANK('Bid Sheet'!$D$5:$E$5), COUNTBLANK('Bid Sheet'!$D$6:$E$6), COUNTBLANK('Bid Sheet'!$D$7:$E$7))&gt;0), "No", "Yes"))</f>
        <v/>
      </c>
      <c r="B27" s="21"/>
      <c r="C27" s="21" t="s">
        <v>125</v>
      </c>
      <c r="D27" s="21" t="s">
        <v>488</v>
      </c>
      <c r="E27" s="21" t="s">
        <v>489</v>
      </c>
      <c r="F27" s="21" t="s">
        <v>490</v>
      </c>
      <c r="G27" s="21" t="s">
        <v>491</v>
      </c>
      <c r="H27" s="21" t="s">
        <v>492</v>
      </c>
      <c r="I27" s="21" t="s">
        <v>531</v>
      </c>
      <c r="J27" s="21" t="s">
        <v>532</v>
      </c>
      <c r="K27" s="21" t="s">
        <v>533</v>
      </c>
      <c r="L27" s="22">
        <v>1536</v>
      </c>
      <c r="M27" s="21" t="s">
        <v>534</v>
      </c>
      <c r="N27" s="21" t="s">
        <v>497</v>
      </c>
      <c r="O27" s="22">
        <v>313</v>
      </c>
      <c r="P27" s="22">
        <v>30</v>
      </c>
      <c r="Q27" s="23">
        <v>2.5</v>
      </c>
      <c r="R27" s="24"/>
      <c r="S27" s="21" t="s">
        <v>66</v>
      </c>
      <c r="T27" s="21"/>
      <c r="U27" s="12"/>
      <c r="V27" s="21"/>
      <c r="W27" s="12"/>
      <c r="X27" s="11"/>
      <c r="Y27" s="25"/>
      <c r="Z27" s="11"/>
    </row>
    <row r="28" spans="1:26" x14ac:dyDescent="0.25">
      <c r="A28" s="8" t="str">
        <f>IF(AND(COUNTBLANK('Bid Sheet'!$R$28:$R$28)=1,COUNTBLANK('Bid Sheet'!$U$28:$U$28)=1,COUNTBLANK('Bid Sheet'!$W$28:$Z$28)=4),"",IF(OR(COUNTBLANK('Bid Sheet'!$R$28:$R$28)&gt;0,COUNTBLANK('Bid Sheet'!$X$28:$X$28)&gt;0, SUM(COUNTBLANK('Bid Sheet'!$D$3:$E$3), COUNTBLANK('Bid Sheet'!$D$4:$E$4), COUNTBLANK('Bid Sheet'!$D$5:$E$5), COUNTBLANK('Bid Sheet'!$D$6:$E$6), COUNTBLANK('Bid Sheet'!$D$7:$E$7))&gt;0), "No", "Yes"))</f>
        <v/>
      </c>
      <c r="B28" s="8"/>
      <c r="C28" s="8" t="s">
        <v>127</v>
      </c>
      <c r="D28" s="8" t="s">
        <v>488</v>
      </c>
      <c r="E28" s="8" t="s">
        <v>489</v>
      </c>
      <c r="F28" s="8" t="s">
        <v>490</v>
      </c>
      <c r="G28" s="8" t="s">
        <v>491</v>
      </c>
      <c r="H28" s="8" t="s">
        <v>492</v>
      </c>
      <c r="I28" s="8" t="s">
        <v>535</v>
      </c>
      <c r="J28" s="8" t="s">
        <v>536</v>
      </c>
      <c r="K28" s="8" t="s">
        <v>533</v>
      </c>
      <c r="L28" s="17">
        <v>1507</v>
      </c>
      <c r="M28" s="8" t="s">
        <v>496</v>
      </c>
      <c r="N28" s="8" t="s">
        <v>497</v>
      </c>
      <c r="O28" s="17">
        <v>736</v>
      </c>
      <c r="P28" s="17">
        <v>63</v>
      </c>
      <c r="Q28" s="18">
        <v>5.3</v>
      </c>
      <c r="R28" s="19"/>
      <c r="S28" s="8" t="s">
        <v>66</v>
      </c>
      <c r="T28" s="8"/>
      <c r="U28" s="10"/>
      <c r="V28" s="8"/>
      <c r="W28" s="10"/>
      <c r="X28" s="9"/>
      <c r="Y28" s="20"/>
      <c r="Z28" s="9"/>
    </row>
    <row r="29" spans="1:26" x14ac:dyDescent="0.25">
      <c r="A29" s="21" t="str">
        <f>IF(AND(COUNTBLANK('Bid Sheet'!$R$29:$R$29)=1,COUNTBLANK('Bid Sheet'!$U$29:$U$29)=1,COUNTBLANK('Bid Sheet'!$W$29:$Z$29)=4),"",IF(OR(COUNTBLANK('Bid Sheet'!$R$29:$R$29)&gt;0,COUNTBLANK('Bid Sheet'!$X$29:$X$29)&gt;0, SUM(COUNTBLANK('Bid Sheet'!$D$3:$E$3), COUNTBLANK('Bid Sheet'!$D$4:$E$4), COUNTBLANK('Bid Sheet'!$D$5:$E$5), COUNTBLANK('Bid Sheet'!$D$6:$E$6), COUNTBLANK('Bid Sheet'!$D$7:$E$7))&gt;0), "No", "Yes"))</f>
        <v/>
      </c>
      <c r="B29" s="21"/>
      <c r="C29" s="21" t="s">
        <v>129</v>
      </c>
      <c r="D29" s="21" t="s">
        <v>488</v>
      </c>
      <c r="E29" s="21" t="s">
        <v>489</v>
      </c>
      <c r="F29" s="21" t="s">
        <v>490</v>
      </c>
      <c r="G29" s="21" t="s">
        <v>491</v>
      </c>
      <c r="H29" s="21" t="s">
        <v>492</v>
      </c>
      <c r="I29" s="21" t="s">
        <v>537</v>
      </c>
      <c r="J29" s="21" t="s">
        <v>538</v>
      </c>
      <c r="K29" s="21" t="s">
        <v>533</v>
      </c>
      <c r="L29" s="22">
        <v>1505</v>
      </c>
      <c r="M29" s="21" t="s">
        <v>496</v>
      </c>
      <c r="N29" s="21" t="s">
        <v>497</v>
      </c>
      <c r="O29" s="22">
        <v>741</v>
      </c>
      <c r="P29" s="22">
        <v>56</v>
      </c>
      <c r="Q29" s="23">
        <v>4.7</v>
      </c>
      <c r="R29" s="24"/>
      <c r="S29" s="21" t="s">
        <v>66</v>
      </c>
      <c r="T29" s="21"/>
      <c r="U29" s="12"/>
      <c r="V29" s="21"/>
      <c r="W29" s="12"/>
      <c r="X29" s="11"/>
      <c r="Y29" s="25"/>
      <c r="Z29" s="11"/>
    </row>
    <row r="30" spans="1:26" x14ac:dyDescent="0.25">
      <c r="A30" s="8" t="str">
        <f>IF(AND(COUNTBLANK('Bid Sheet'!$R$30:$R$30)=1,COUNTBLANK('Bid Sheet'!$U$30:$U$30)=1,COUNTBLANK('Bid Sheet'!$W$30:$Z$30)=4),"",IF(OR(COUNTBLANK('Bid Sheet'!$R$30:$R$30)&gt;0,COUNTBLANK('Bid Sheet'!$X$30:$X$30)&gt;0, SUM(COUNTBLANK('Bid Sheet'!$D$3:$E$3), COUNTBLANK('Bid Sheet'!$D$4:$E$4), COUNTBLANK('Bid Sheet'!$D$5:$E$5), COUNTBLANK('Bid Sheet'!$D$6:$E$6), COUNTBLANK('Bid Sheet'!$D$7:$E$7))&gt;0), "No", "Yes"))</f>
        <v/>
      </c>
      <c r="B30" s="8"/>
      <c r="C30" s="8" t="s">
        <v>131</v>
      </c>
      <c r="D30" s="8" t="s">
        <v>488</v>
      </c>
      <c r="E30" s="8" t="s">
        <v>489</v>
      </c>
      <c r="F30" s="8" t="s">
        <v>490</v>
      </c>
      <c r="G30" s="8" t="s">
        <v>491</v>
      </c>
      <c r="H30" s="8" t="s">
        <v>492</v>
      </c>
      <c r="I30" s="8" t="s">
        <v>537</v>
      </c>
      <c r="J30" s="8" t="s">
        <v>538</v>
      </c>
      <c r="K30" s="8" t="s">
        <v>533</v>
      </c>
      <c r="L30" s="17">
        <v>1505</v>
      </c>
      <c r="M30" s="8" t="s">
        <v>534</v>
      </c>
      <c r="N30" s="8" t="s">
        <v>497</v>
      </c>
      <c r="O30" s="17">
        <v>304</v>
      </c>
      <c r="P30" s="17">
        <v>34</v>
      </c>
      <c r="Q30" s="18">
        <v>2.8</v>
      </c>
      <c r="R30" s="19"/>
      <c r="S30" s="8" t="s">
        <v>66</v>
      </c>
      <c r="T30" s="8"/>
      <c r="U30" s="10"/>
      <c r="V30" s="8"/>
      <c r="W30" s="10"/>
      <c r="X30" s="9"/>
      <c r="Y30" s="20"/>
      <c r="Z30" s="9"/>
    </row>
    <row r="31" spans="1:26" x14ac:dyDescent="0.25">
      <c r="A31" s="21" t="str">
        <f>IF(AND(COUNTBLANK('Bid Sheet'!$R$31:$R$31)=1,COUNTBLANK('Bid Sheet'!$U$31:$U$31)=1,COUNTBLANK('Bid Sheet'!$W$31:$Z$31)=4),"",IF(OR(COUNTBLANK('Bid Sheet'!$R$31:$R$31)&gt;0,COUNTBLANK('Bid Sheet'!$X$31:$X$31)&gt;0, SUM(COUNTBLANK('Bid Sheet'!$D$3:$E$3), COUNTBLANK('Bid Sheet'!$D$4:$E$4), COUNTBLANK('Bid Sheet'!$D$5:$E$5), COUNTBLANK('Bid Sheet'!$D$6:$E$6), COUNTBLANK('Bid Sheet'!$D$7:$E$7))&gt;0), "No", "Yes"))</f>
        <v/>
      </c>
      <c r="B31" s="21"/>
      <c r="C31" s="21" t="s">
        <v>133</v>
      </c>
      <c r="D31" s="21" t="s">
        <v>488</v>
      </c>
      <c r="E31" s="21" t="s">
        <v>489</v>
      </c>
      <c r="F31" s="21" t="s">
        <v>490</v>
      </c>
      <c r="G31" s="21" t="s">
        <v>491</v>
      </c>
      <c r="H31" s="21" t="s">
        <v>492</v>
      </c>
      <c r="I31" s="21" t="s">
        <v>539</v>
      </c>
      <c r="J31" s="21" t="s">
        <v>540</v>
      </c>
      <c r="K31" s="21" t="s">
        <v>533</v>
      </c>
      <c r="L31" s="22">
        <v>1496</v>
      </c>
      <c r="M31" s="21" t="s">
        <v>496</v>
      </c>
      <c r="N31" s="21" t="s">
        <v>497</v>
      </c>
      <c r="O31" s="22">
        <v>738</v>
      </c>
      <c r="P31" s="22">
        <v>69</v>
      </c>
      <c r="Q31" s="23">
        <v>5.8</v>
      </c>
      <c r="R31" s="24"/>
      <c r="S31" s="21" t="s">
        <v>66</v>
      </c>
      <c r="T31" s="21" t="s">
        <v>501</v>
      </c>
      <c r="U31" s="12"/>
      <c r="V31" s="21"/>
      <c r="W31" s="12"/>
      <c r="X31" s="11"/>
      <c r="Y31" s="25"/>
      <c r="Z31" s="11"/>
    </row>
    <row r="32" spans="1:26" x14ac:dyDescent="0.25">
      <c r="A32" s="8" t="str">
        <f>IF(AND(COUNTBLANK('Bid Sheet'!$R$32:$R$32)=1,COUNTBLANK('Bid Sheet'!$U$32:$U$32)=1,COUNTBLANK('Bid Sheet'!$W$32:$Z$32)=4),"",IF(OR(COUNTBLANK('Bid Sheet'!$R$32:$R$32)&gt;0,COUNTBLANK('Bid Sheet'!$X$32:$X$32)&gt;0, SUM(COUNTBLANK('Bid Sheet'!$D$3:$E$3), COUNTBLANK('Bid Sheet'!$D$4:$E$4), COUNTBLANK('Bid Sheet'!$D$5:$E$5), COUNTBLANK('Bid Sheet'!$D$6:$E$6), COUNTBLANK('Bid Sheet'!$D$7:$E$7))&gt;0), "No", "Yes"))</f>
        <v/>
      </c>
      <c r="B32" s="8"/>
      <c r="C32" s="8" t="s">
        <v>135</v>
      </c>
      <c r="D32" s="8" t="s">
        <v>488</v>
      </c>
      <c r="E32" s="8" t="s">
        <v>489</v>
      </c>
      <c r="F32" s="8" t="s">
        <v>490</v>
      </c>
      <c r="G32" s="8" t="s">
        <v>491</v>
      </c>
      <c r="H32" s="8" t="s">
        <v>492</v>
      </c>
      <c r="I32" s="8" t="s">
        <v>539</v>
      </c>
      <c r="J32" s="8" t="s">
        <v>540</v>
      </c>
      <c r="K32" s="8" t="s">
        <v>533</v>
      </c>
      <c r="L32" s="17">
        <v>1496</v>
      </c>
      <c r="M32" s="8" t="s">
        <v>534</v>
      </c>
      <c r="N32" s="8" t="s">
        <v>497</v>
      </c>
      <c r="O32" s="17">
        <v>296</v>
      </c>
      <c r="P32" s="17">
        <v>20</v>
      </c>
      <c r="Q32" s="18">
        <v>1.7</v>
      </c>
      <c r="R32" s="19"/>
      <c r="S32" s="8" t="s">
        <v>66</v>
      </c>
      <c r="T32" s="8" t="s">
        <v>501</v>
      </c>
      <c r="U32" s="10"/>
      <c r="V32" s="8"/>
      <c r="W32" s="10"/>
      <c r="X32" s="9"/>
      <c r="Y32" s="20"/>
      <c r="Z32" s="9"/>
    </row>
    <row r="33" spans="1:26" x14ac:dyDescent="0.25">
      <c r="A33" s="21" t="str">
        <f>IF(AND(COUNTBLANK('Bid Sheet'!$R$33:$R$33)=1,COUNTBLANK('Bid Sheet'!$U$33:$U$33)=1,COUNTBLANK('Bid Sheet'!$W$33:$Z$33)=4),"",IF(OR(COUNTBLANK('Bid Sheet'!$R$33:$R$33)&gt;0,COUNTBLANK('Bid Sheet'!$X$33:$X$33)&gt;0, SUM(COUNTBLANK('Bid Sheet'!$D$3:$E$3), COUNTBLANK('Bid Sheet'!$D$4:$E$4), COUNTBLANK('Bid Sheet'!$D$5:$E$5), COUNTBLANK('Bid Sheet'!$D$6:$E$6), COUNTBLANK('Bid Sheet'!$D$7:$E$7))&gt;0), "No", "Yes"))</f>
        <v/>
      </c>
      <c r="B33" s="21"/>
      <c r="C33" s="21" t="s">
        <v>137</v>
      </c>
      <c r="D33" s="21" t="s">
        <v>488</v>
      </c>
      <c r="E33" s="21" t="s">
        <v>489</v>
      </c>
      <c r="F33" s="21" t="s">
        <v>490</v>
      </c>
      <c r="G33" s="21" t="s">
        <v>491</v>
      </c>
      <c r="H33" s="21" t="s">
        <v>492</v>
      </c>
      <c r="I33" s="21" t="s">
        <v>541</v>
      </c>
      <c r="J33" s="21" t="s">
        <v>542</v>
      </c>
      <c r="K33" s="21" t="s">
        <v>533</v>
      </c>
      <c r="L33" s="22">
        <v>1506</v>
      </c>
      <c r="M33" s="21" t="s">
        <v>496</v>
      </c>
      <c r="N33" s="21" t="s">
        <v>497</v>
      </c>
      <c r="O33" s="22">
        <v>742</v>
      </c>
      <c r="P33" s="22">
        <v>83</v>
      </c>
      <c r="Q33" s="23">
        <v>6.9</v>
      </c>
      <c r="R33" s="24"/>
      <c r="S33" s="21" t="s">
        <v>66</v>
      </c>
      <c r="T33" s="21" t="s">
        <v>501</v>
      </c>
      <c r="U33" s="12"/>
      <c r="V33" s="21"/>
      <c r="W33" s="12"/>
      <c r="X33" s="11"/>
      <c r="Y33" s="25"/>
      <c r="Z33" s="11"/>
    </row>
    <row r="34" spans="1:26" x14ac:dyDescent="0.25">
      <c r="A34" s="8" t="str">
        <f>IF(AND(COUNTBLANK('Bid Sheet'!$R$34:$R$34)=1,COUNTBLANK('Bid Sheet'!$U$34:$U$34)=1,COUNTBLANK('Bid Sheet'!$W$34:$Z$34)=4),"",IF(OR(COUNTBLANK('Bid Sheet'!$R$34:$R$34)&gt;0,COUNTBLANK('Bid Sheet'!$X$34:$X$34)&gt;0, SUM(COUNTBLANK('Bid Sheet'!$D$3:$E$3), COUNTBLANK('Bid Sheet'!$D$4:$E$4), COUNTBLANK('Bid Sheet'!$D$5:$E$5), COUNTBLANK('Bid Sheet'!$D$6:$E$6), COUNTBLANK('Bid Sheet'!$D$7:$E$7))&gt;0), "No", "Yes"))</f>
        <v/>
      </c>
      <c r="B34" s="8"/>
      <c r="C34" s="8" t="s">
        <v>139</v>
      </c>
      <c r="D34" s="8" t="s">
        <v>488</v>
      </c>
      <c r="E34" s="8" t="s">
        <v>489</v>
      </c>
      <c r="F34" s="8" t="s">
        <v>490</v>
      </c>
      <c r="G34" s="8" t="s">
        <v>491</v>
      </c>
      <c r="H34" s="8" t="s">
        <v>492</v>
      </c>
      <c r="I34" s="8" t="s">
        <v>541</v>
      </c>
      <c r="J34" s="8" t="s">
        <v>542</v>
      </c>
      <c r="K34" s="8" t="s">
        <v>533</v>
      </c>
      <c r="L34" s="17">
        <v>1506</v>
      </c>
      <c r="M34" s="8" t="s">
        <v>534</v>
      </c>
      <c r="N34" s="8" t="s">
        <v>497</v>
      </c>
      <c r="O34" s="17">
        <v>300</v>
      </c>
      <c r="P34" s="17">
        <v>21</v>
      </c>
      <c r="Q34" s="18">
        <v>1.8</v>
      </c>
      <c r="R34" s="19"/>
      <c r="S34" s="8" t="s">
        <v>66</v>
      </c>
      <c r="T34" s="8" t="s">
        <v>501</v>
      </c>
      <c r="U34" s="10"/>
      <c r="V34" s="8"/>
      <c r="W34" s="10"/>
      <c r="X34" s="9"/>
      <c r="Y34" s="20"/>
      <c r="Z34" s="9"/>
    </row>
    <row r="35" spans="1:26" x14ac:dyDescent="0.25">
      <c r="A35" s="21" t="str">
        <f>IF(AND(COUNTBLANK('Bid Sheet'!$R$35:$R$35)=1,COUNTBLANK('Bid Sheet'!$U$35:$U$35)=1,COUNTBLANK('Bid Sheet'!$W$35:$Z$35)=4),"",IF(OR(COUNTBLANK('Bid Sheet'!$R$35:$R$35)&gt;0,COUNTBLANK('Bid Sheet'!$X$35:$X$35)&gt;0, SUM(COUNTBLANK('Bid Sheet'!$D$3:$E$3), COUNTBLANK('Bid Sheet'!$D$4:$E$4), COUNTBLANK('Bid Sheet'!$D$5:$E$5), COUNTBLANK('Bid Sheet'!$D$6:$E$6), COUNTBLANK('Bid Sheet'!$D$7:$E$7))&gt;0), "No", "Yes"))</f>
        <v/>
      </c>
      <c r="B35" s="21"/>
      <c r="C35" s="21" t="s">
        <v>141</v>
      </c>
      <c r="D35" s="21" t="s">
        <v>488</v>
      </c>
      <c r="E35" s="21" t="s">
        <v>489</v>
      </c>
      <c r="F35" s="21" t="s">
        <v>490</v>
      </c>
      <c r="G35" s="21" t="s">
        <v>491</v>
      </c>
      <c r="H35" s="21" t="s">
        <v>492</v>
      </c>
      <c r="I35" s="21" t="s">
        <v>543</v>
      </c>
      <c r="J35" s="21" t="s">
        <v>544</v>
      </c>
      <c r="K35" s="21" t="s">
        <v>533</v>
      </c>
      <c r="L35" s="22">
        <v>1477</v>
      </c>
      <c r="M35" s="21" t="s">
        <v>496</v>
      </c>
      <c r="N35" s="21" t="s">
        <v>497</v>
      </c>
      <c r="O35" s="22">
        <v>702</v>
      </c>
      <c r="P35" s="22">
        <v>20</v>
      </c>
      <c r="Q35" s="23">
        <v>1.7</v>
      </c>
      <c r="R35" s="24"/>
      <c r="S35" s="21" t="s">
        <v>66</v>
      </c>
      <c r="T35" s="21"/>
      <c r="U35" s="12"/>
      <c r="V35" s="21"/>
      <c r="W35" s="12"/>
      <c r="X35" s="11"/>
      <c r="Y35" s="25"/>
      <c r="Z35" s="11"/>
    </row>
    <row r="36" spans="1:26" x14ac:dyDescent="0.25">
      <c r="A36" s="8" t="str">
        <f>IF(AND(COUNTBLANK('Bid Sheet'!$R$36:$R$36)=1,COUNTBLANK('Bid Sheet'!$U$36:$U$36)=1,COUNTBLANK('Bid Sheet'!$W$36:$Z$36)=4),"",IF(OR(COUNTBLANK('Bid Sheet'!$R$36:$R$36)&gt;0,COUNTBLANK('Bid Sheet'!$X$36:$X$36)&gt;0, SUM(COUNTBLANK('Bid Sheet'!$D$3:$E$3), COUNTBLANK('Bid Sheet'!$D$4:$E$4), COUNTBLANK('Bid Sheet'!$D$5:$E$5), COUNTBLANK('Bid Sheet'!$D$6:$E$6), COUNTBLANK('Bid Sheet'!$D$7:$E$7))&gt;0), "No", "Yes"))</f>
        <v/>
      </c>
      <c r="B36" s="8"/>
      <c r="C36" s="8" t="s">
        <v>143</v>
      </c>
      <c r="D36" s="8" t="s">
        <v>488</v>
      </c>
      <c r="E36" s="8" t="s">
        <v>489</v>
      </c>
      <c r="F36" s="8" t="s">
        <v>490</v>
      </c>
      <c r="G36" s="8" t="s">
        <v>491</v>
      </c>
      <c r="H36" s="8" t="s">
        <v>492</v>
      </c>
      <c r="I36" s="8" t="s">
        <v>543</v>
      </c>
      <c r="J36" s="8" t="s">
        <v>544</v>
      </c>
      <c r="K36" s="8" t="s">
        <v>533</v>
      </c>
      <c r="L36" s="17">
        <v>1477</v>
      </c>
      <c r="M36" s="8" t="s">
        <v>534</v>
      </c>
      <c r="N36" s="8" t="s">
        <v>497</v>
      </c>
      <c r="O36" s="17">
        <v>311</v>
      </c>
      <c r="P36" s="17">
        <v>6</v>
      </c>
      <c r="Q36" s="18">
        <v>0.5</v>
      </c>
      <c r="R36" s="19"/>
      <c r="S36" s="8" t="s">
        <v>66</v>
      </c>
      <c r="T36" s="8"/>
      <c r="U36" s="10"/>
      <c r="V36" s="8"/>
      <c r="W36" s="10"/>
      <c r="X36" s="9"/>
      <c r="Y36" s="20"/>
      <c r="Z36" s="9"/>
    </row>
    <row r="37" spans="1:26" x14ac:dyDescent="0.25">
      <c r="A37" s="21" t="str">
        <f>IF(AND(COUNTBLANK('Bid Sheet'!$R$37:$R$37)=1,COUNTBLANK('Bid Sheet'!$U$37:$U$37)=1,COUNTBLANK('Bid Sheet'!$W$37:$Z$37)=4),"",IF(OR(COUNTBLANK('Bid Sheet'!$R$37:$R$37)&gt;0,COUNTBLANK('Bid Sheet'!$X$37:$X$37)&gt;0, SUM(COUNTBLANK('Bid Sheet'!$D$3:$E$3), COUNTBLANK('Bid Sheet'!$D$4:$E$4), COUNTBLANK('Bid Sheet'!$D$5:$E$5), COUNTBLANK('Bid Sheet'!$D$6:$E$6), COUNTBLANK('Bid Sheet'!$D$7:$E$7))&gt;0), "No", "Yes"))</f>
        <v/>
      </c>
      <c r="B37" s="21"/>
      <c r="C37" s="21" t="s">
        <v>145</v>
      </c>
      <c r="D37" s="21" t="s">
        <v>488</v>
      </c>
      <c r="E37" s="21" t="s">
        <v>489</v>
      </c>
      <c r="F37" s="21" t="s">
        <v>490</v>
      </c>
      <c r="G37" s="21" t="s">
        <v>491</v>
      </c>
      <c r="H37" s="21" t="s">
        <v>492</v>
      </c>
      <c r="I37" s="21" t="s">
        <v>545</v>
      </c>
      <c r="J37" s="21" t="s">
        <v>546</v>
      </c>
      <c r="K37" s="21" t="s">
        <v>533</v>
      </c>
      <c r="L37" s="22">
        <v>1535</v>
      </c>
      <c r="M37" s="21" t="s">
        <v>496</v>
      </c>
      <c r="N37" s="21" t="s">
        <v>497</v>
      </c>
      <c r="O37" s="22">
        <v>766</v>
      </c>
      <c r="P37" s="22">
        <v>12</v>
      </c>
      <c r="Q37" s="23">
        <v>1</v>
      </c>
      <c r="R37" s="24"/>
      <c r="S37" s="21" t="s">
        <v>66</v>
      </c>
      <c r="T37" s="21"/>
      <c r="U37" s="12"/>
      <c r="V37" s="21"/>
      <c r="W37" s="12"/>
      <c r="X37" s="11"/>
      <c r="Y37" s="25"/>
      <c r="Z37" s="11"/>
    </row>
    <row r="38" spans="1:26" x14ac:dyDescent="0.25">
      <c r="A38" s="8" t="str">
        <f>IF(AND(COUNTBLANK('Bid Sheet'!$R$38:$R$38)=1,COUNTBLANK('Bid Sheet'!$U$38:$U$38)=1,COUNTBLANK('Bid Sheet'!$W$38:$Z$38)=4),"",IF(OR(COUNTBLANK('Bid Sheet'!$R$38:$R$38)&gt;0,COUNTBLANK('Bid Sheet'!$X$38:$X$38)&gt;0, SUM(COUNTBLANK('Bid Sheet'!$D$3:$E$3), COUNTBLANK('Bid Sheet'!$D$4:$E$4), COUNTBLANK('Bid Sheet'!$D$5:$E$5), COUNTBLANK('Bid Sheet'!$D$6:$E$6), COUNTBLANK('Bid Sheet'!$D$7:$E$7))&gt;0), "No", "Yes"))</f>
        <v/>
      </c>
      <c r="B38" s="8"/>
      <c r="C38" s="8" t="s">
        <v>147</v>
      </c>
      <c r="D38" s="8" t="s">
        <v>488</v>
      </c>
      <c r="E38" s="8" t="s">
        <v>489</v>
      </c>
      <c r="F38" s="8" t="s">
        <v>490</v>
      </c>
      <c r="G38" s="8" t="s">
        <v>491</v>
      </c>
      <c r="H38" s="8" t="s">
        <v>492</v>
      </c>
      <c r="I38" s="8" t="s">
        <v>545</v>
      </c>
      <c r="J38" s="8" t="s">
        <v>546</v>
      </c>
      <c r="K38" s="8" t="s">
        <v>533</v>
      </c>
      <c r="L38" s="17">
        <v>1535</v>
      </c>
      <c r="M38" s="8" t="s">
        <v>534</v>
      </c>
      <c r="N38" s="8" t="s">
        <v>497</v>
      </c>
      <c r="O38" s="17">
        <v>322</v>
      </c>
      <c r="P38" s="17">
        <v>3</v>
      </c>
      <c r="Q38" s="18">
        <v>0.3</v>
      </c>
      <c r="R38" s="19"/>
      <c r="S38" s="8" t="s">
        <v>66</v>
      </c>
      <c r="T38" s="8"/>
      <c r="U38" s="10"/>
      <c r="V38" s="8"/>
      <c r="W38" s="10"/>
      <c r="X38" s="9"/>
      <c r="Y38" s="20"/>
      <c r="Z38" s="9"/>
    </row>
    <row r="39" spans="1:26" x14ac:dyDescent="0.25">
      <c r="A39" s="21" t="str">
        <f>IF(AND(COUNTBLANK('Bid Sheet'!$R$39:$R$39)=1,COUNTBLANK('Bid Sheet'!$U$39:$U$39)=1,COUNTBLANK('Bid Sheet'!$W$39:$Z$39)=4),"",IF(OR(COUNTBLANK('Bid Sheet'!$R$39:$R$39)&gt;0,COUNTBLANK('Bid Sheet'!$X$39:$X$39)&gt;0, SUM(COUNTBLANK('Bid Sheet'!$D$3:$E$3), COUNTBLANK('Bid Sheet'!$D$4:$E$4), COUNTBLANK('Bid Sheet'!$D$5:$E$5), COUNTBLANK('Bid Sheet'!$D$6:$E$6), COUNTBLANK('Bid Sheet'!$D$7:$E$7))&gt;0), "No", "Yes"))</f>
        <v/>
      </c>
      <c r="B39" s="21"/>
      <c r="C39" s="21" t="s">
        <v>149</v>
      </c>
      <c r="D39" s="21" t="s">
        <v>488</v>
      </c>
      <c r="E39" s="21" t="s">
        <v>489</v>
      </c>
      <c r="F39" s="21" t="s">
        <v>490</v>
      </c>
      <c r="G39" s="21" t="s">
        <v>491</v>
      </c>
      <c r="H39" s="21" t="s">
        <v>492</v>
      </c>
      <c r="I39" s="21" t="s">
        <v>547</v>
      </c>
      <c r="J39" s="21" t="s">
        <v>548</v>
      </c>
      <c r="K39" s="21" t="s">
        <v>533</v>
      </c>
      <c r="L39" s="22">
        <v>1573</v>
      </c>
      <c r="M39" s="21" t="s">
        <v>496</v>
      </c>
      <c r="N39" s="21" t="s">
        <v>497</v>
      </c>
      <c r="O39" s="22">
        <v>771</v>
      </c>
      <c r="P39" s="22">
        <v>94</v>
      </c>
      <c r="Q39" s="23">
        <v>7.8</v>
      </c>
      <c r="R39" s="24"/>
      <c r="S39" s="21" t="s">
        <v>66</v>
      </c>
      <c r="T39" s="21" t="s">
        <v>501</v>
      </c>
      <c r="U39" s="12"/>
      <c r="V39" s="21"/>
      <c r="W39" s="12"/>
      <c r="X39" s="11"/>
      <c r="Y39" s="25"/>
      <c r="Z39" s="11"/>
    </row>
    <row r="40" spans="1:26" x14ac:dyDescent="0.25">
      <c r="A40" s="8" t="str">
        <f>IF(AND(COUNTBLANK('Bid Sheet'!$R$40:$R$40)=1,COUNTBLANK('Bid Sheet'!$U$40:$U$40)=1,COUNTBLANK('Bid Sheet'!$W$40:$Z$40)=4),"",IF(OR(COUNTBLANK('Bid Sheet'!$R$40:$R$40)&gt;0,COUNTBLANK('Bid Sheet'!$X$40:$X$40)&gt;0, SUM(COUNTBLANK('Bid Sheet'!$D$3:$E$3), COUNTBLANK('Bid Sheet'!$D$4:$E$4), COUNTBLANK('Bid Sheet'!$D$5:$E$5), COUNTBLANK('Bid Sheet'!$D$6:$E$6), COUNTBLANK('Bid Sheet'!$D$7:$E$7))&gt;0), "No", "Yes"))</f>
        <v/>
      </c>
      <c r="B40" s="8"/>
      <c r="C40" s="8" t="s">
        <v>151</v>
      </c>
      <c r="D40" s="8" t="s">
        <v>488</v>
      </c>
      <c r="E40" s="8" t="s">
        <v>489</v>
      </c>
      <c r="F40" s="8" t="s">
        <v>490</v>
      </c>
      <c r="G40" s="8" t="s">
        <v>491</v>
      </c>
      <c r="H40" s="8" t="s">
        <v>492</v>
      </c>
      <c r="I40" s="8" t="s">
        <v>547</v>
      </c>
      <c r="J40" s="8" t="s">
        <v>548</v>
      </c>
      <c r="K40" s="8" t="s">
        <v>533</v>
      </c>
      <c r="L40" s="17">
        <v>1573</v>
      </c>
      <c r="M40" s="8" t="s">
        <v>534</v>
      </c>
      <c r="N40" s="8" t="s">
        <v>497</v>
      </c>
      <c r="O40" s="17">
        <v>384</v>
      </c>
      <c r="P40" s="17">
        <v>23</v>
      </c>
      <c r="Q40" s="18">
        <v>1.9</v>
      </c>
      <c r="R40" s="19"/>
      <c r="S40" s="8" t="s">
        <v>66</v>
      </c>
      <c r="T40" s="8" t="s">
        <v>501</v>
      </c>
      <c r="U40" s="10"/>
      <c r="V40" s="8"/>
      <c r="W40" s="10"/>
      <c r="X40" s="9"/>
      <c r="Y40" s="20"/>
      <c r="Z40" s="9"/>
    </row>
    <row r="41" spans="1:26" x14ac:dyDescent="0.25">
      <c r="A41" s="21" t="str">
        <f>IF(AND(COUNTBLANK('Bid Sheet'!$R$41:$R$41)=1,COUNTBLANK('Bid Sheet'!$U$41:$U$41)=1,COUNTBLANK('Bid Sheet'!$W$41:$Z$41)=4),"",IF(OR(COUNTBLANK('Bid Sheet'!$R$41:$R$41)&gt;0,COUNTBLANK('Bid Sheet'!$X$41:$X$41)&gt;0, SUM(COUNTBLANK('Bid Sheet'!$D$3:$E$3), COUNTBLANK('Bid Sheet'!$D$4:$E$4), COUNTBLANK('Bid Sheet'!$D$5:$E$5), COUNTBLANK('Bid Sheet'!$D$6:$E$6), COUNTBLANK('Bid Sheet'!$D$7:$E$7))&gt;0), "No", "Yes"))</f>
        <v/>
      </c>
      <c r="B41" s="21"/>
      <c r="C41" s="21" t="s">
        <v>153</v>
      </c>
      <c r="D41" s="21" t="s">
        <v>488</v>
      </c>
      <c r="E41" s="21" t="s">
        <v>489</v>
      </c>
      <c r="F41" s="21" t="s">
        <v>490</v>
      </c>
      <c r="G41" s="21" t="s">
        <v>491</v>
      </c>
      <c r="H41" s="21" t="s">
        <v>492</v>
      </c>
      <c r="I41" s="21" t="s">
        <v>549</v>
      </c>
      <c r="J41" s="21" t="s">
        <v>550</v>
      </c>
      <c r="K41" s="21" t="s">
        <v>533</v>
      </c>
      <c r="L41" s="22">
        <v>1474</v>
      </c>
      <c r="M41" s="21" t="s">
        <v>496</v>
      </c>
      <c r="N41" s="21" t="s">
        <v>497</v>
      </c>
      <c r="O41" s="22">
        <v>805</v>
      </c>
      <c r="P41" s="22">
        <v>75</v>
      </c>
      <c r="Q41" s="23">
        <v>6.3</v>
      </c>
      <c r="R41" s="24"/>
      <c r="S41" s="21" t="s">
        <v>66</v>
      </c>
      <c r="T41" s="21"/>
      <c r="U41" s="12"/>
      <c r="V41" s="21"/>
      <c r="W41" s="12"/>
      <c r="X41" s="11"/>
      <c r="Y41" s="25"/>
      <c r="Z41" s="11"/>
    </row>
    <row r="42" spans="1:26" x14ac:dyDescent="0.25">
      <c r="A42" s="8" t="str">
        <f>IF(AND(COUNTBLANK('Bid Sheet'!$R$42:$R$42)=1,COUNTBLANK('Bid Sheet'!$U$42:$U$42)=1,COUNTBLANK('Bid Sheet'!$W$42:$Z$42)=4),"",IF(OR(COUNTBLANK('Bid Sheet'!$R$42:$R$42)&gt;0,COUNTBLANK('Bid Sheet'!$X$42:$X$42)&gt;0, SUM(COUNTBLANK('Bid Sheet'!$D$3:$E$3), COUNTBLANK('Bid Sheet'!$D$4:$E$4), COUNTBLANK('Bid Sheet'!$D$5:$E$5), COUNTBLANK('Bid Sheet'!$D$6:$E$6), COUNTBLANK('Bid Sheet'!$D$7:$E$7))&gt;0), "No", "Yes"))</f>
        <v/>
      </c>
      <c r="B42" s="8"/>
      <c r="C42" s="8" t="s">
        <v>155</v>
      </c>
      <c r="D42" s="8" t="s">
        <v>488</v>
      </c>
      <c r="E42" s="8" t="s">
        <v>489</v>
      </c>
      <c r="F42" s="8" t="s">
        <v>490</v>
      </c>
      <c r="G42" s="8" t="s">
        <v>491</v>
      </c>
      <c r="H42" s="8" t="s">
        <v>492</v>
      </c>
      <c r="I42" s="8" t="s">
        <v>549</v>
      </c>
      <c r="J42" s="8" t="s">
        <v>550</v>
      </c>
      <c r="K42" s="8" t="s">
        <v>533</v>
      </c>
      <c r="L42" s="17">
        <v>1474</v>
      </c>
      <c r="M42" s="8" t="s">
        <v>534</v>
      </c>
      <c r="N42" s="8" t="s">
        <v>497</v>
      </c>
      <c r="O42" s="17">
        <v>354</v>
      </c>
      <c r="P42" s="17">
        <v>22</v>
      </c>
      <c r="Q42" s="18">
        <v>1.8</v>
      </c>
      <c r="R42" s="19"/>
      <c r="S42" s="8" t="s">
        <v>66</v>
      </c>
      <c r="T42" s="8"/>
      <c r="U42" s="10"/>
      <c r="V42" s="8"/>
      <c r="W42" s="10"/>
      <c r="X42" s="9"/>
      <c r="Y42" s="20"/>
      <c r="Z42" s="9"/>
    </row>
    <row r="43" spans="1:26" x14ac:dyDescent="0.25">
      <c r="A43" s="21" t="str">
        <f>IF(AND(COUNTBLANK('Bid Sheet'!$R$43:$R$43)=1,COUNTBLANK('Bid Sheet'!$U$43:$U$43)=1,COUNTBLANK('Bid Sheet'!$W$43:$Z$43)=4),"",IF(OR(COUNTBLANK('Bid Sheet'!$R$43:$R$43)&gt;0,COUNTBLANK('Bid Sheet'!$X$43:$X$43)&gt;0, SUM(COUNTBLANK('Bid Sheet'!$D$3:$E$3), COUNTBLANK('Bid Sheet'!$D$4:$E$4), COUNTBLANK('Bid Sheet'!$D$5:$E$5), COUNTBLANK('Bid Sheet'!$D$6:$E$6), COUNTBLANK('Bid Sheet'!$D$7:$E$7))&gt;0), "No", "Yes"))</f>
        <v/>
      </c>
      <c r="B43" s="21"/>
      <c r="C43" s="21" t="s">
        <v>157</v>
      </c>
      <c r="D43" s="21" t="s">
        <v>488</v>
      </c>
      <c r="E43" s="21" t="s">
        <v>489</v>
      </c>
      <c r="F43" s="21" t="s">
        <v>490</v>
      </c>
      <c r="G43" s="21" t="s">
        <v>491</v>
      </c>
      <c r="H43" s="21" t="s">
        <v>492</v>
      </c>
      <c r="I43" s="21" t="s">
        <v>551</v>
      </c>
      <c r="J43" s="21" t="s">
        <v>550</v>
      </c>
      <c r="K43" s="21" t="s">
        <v>533</v>
      </c>
      <c r="L43" s="22">
        <v>1798</v>
      </c>
      <c r="M43" s="21" t="s">
        <v>496</v>
      </c>
      <c r="N43" s="21" t="s">
        <v>497</v>
      </c>
      <c r="O43" s="22">
        <v>799</v>
      </c>
      <c r="P43" s="22">
        <v>10</v>
      </c>
      <c r="Q43" s="23">
        <v>0.8</v>
      </c>
      <c r="R43" s="24"/>
      <c r="S43" s="21" t="s">
        <v>66</v>
      </c>
      <c r="T43" s="21"/>
      <c r="U43" s="12"/>
      <c r="V43" s="21"/>
      <c r="W43" s="12"/>
      <c r="X43" s="11"/>
      <c r="Y43" s="25"/>
      <c r="Z43" s="11"/>
    </row>
    <row r="44" spans="1:26" x14ac:dyDescent="0.25">
      <c r="A44" s="8" t="str">
        <f>IF(AND(COUNTBLANK('Bid Sheet'!$R$44:$R$44)=1,COUNTBLANK('Bid Sheet'!$U$44:$U$44)=1,COUNTBLANK('Bid Sheet'!$W$44:$Z$44)=4),"",IF(OR(COUNTBLANK('Bid Sheet'!$R$44:$R$44)&gt;0,COUNTBLANK('Bid Sheet'!$X$44:$X$44)&gt;0, SUM(COUNTBLANK('Bid Sheet'!$D$3:$E$3), COUNTBLANK('Bid Sheet'!$D$4:$E$4), COUNTBLANK('Bid Sheet'!$D$5:$E$5), COUNTBLANK('Bid Sheet'!$D$6:$E$6), COUNTBLANK('Bid Sheet'!$D$7:$E$7))&gt;0), "No", "Yes"))</f>
        <v/>
      </c>
      <c r="B44" s="8"/>
      <c r="C44" s="8" t="s">
        <v>158</v>
      </c>
      <c r="D44" s="8" t="s">
        <v>488</v>
      </c>
      <c r="E44" s="8" t="s">
        <v>489</v>
      </c>
      <c r="F44" s="8" t="s">
        <v>490</v>
      </c>
      <c r="G44" s="8" t="s">
        <v>491</v>
      </c>
      <c r="H44" s="8" t="s">
        <v>492</v>
      </c>
      <c r="I44" s="8" t="s">
        <v>551</v>
      </c>
      <c r="J44" s="8" t="s">
        <v>550</v>
      </c>
      <c r="K44" s="8" t="s">
        <v>533</v>
      </c>
      <c r="L44" s="17">
        <v>1798</v>
      </c>
      <c r="M44" s="8" t="s">
        <v>534</v>
      </c>
      <c r="N44" s="8" t="s">
        <v>497</v>
      </c>
      <c r="O44" s="17">
        <v>347</v>
      </c>
      <c r="P44" s="17">
        <v>7</v>
      </c>
      <c r="Q44" s="18">
        <v>0.6</v>
      </c>
      <c r="R44" s="19"/>
      <c r="S44" s="8" t="s">
        <v>66</v>
      </c>
      <c r="T44" s="8"/>
      <c r="U44" s="10"/>
      <c r="V44" s="8"/>
      <c r="W44" s="10"/>
      <c r="X44" s="9"/>
      <c r="Y44" s="20"/>
      <c r="Z44" s="9"/>
    </row>
    <row r="45" spans="1:26" x14ac:dyDescent="0.25">
      <c r="A45" s="21" t="str">
        <f>IF(AND(COUNTBLANK('Bid Sheet'!$R$45:$R$45)=1,COUNTBLANK('Bid Sheet'!$U$45:$U$45)=1,COUNTBLANK('Bid Sheet'!$W$45:$Z$45)=4),"",IF(OR(COUNTBLANK('Bid Sheet'!$R$45:$R$45)&gt;0,COUNTBLANK('Bid Sheet'!$X$45:$X$45)&gt;0, SUM(COUNTBLANK('Bid Sheet'!$D$3:$E$3), COUNTBLANK('Bid Sheet'!$D$4:$E$4), COUNTBLANK('Bid Sheet'!$D$5:$E$5), COUNTBLANK('Bid Sheet'!$D$6:$E$6), COUNTBLANK('Bid Sheet'!$D$7:$E$7))&gt;0), "No", "Yes"))</f>
        <v/>
      </c>
      <c r="B45" s="21"/>
      <c r="C45" s="21" t="s">
        <v>159</v>
      </c>
      <c r="D45" s="21" t="s">
        <v>488</v>
      </c>
      <c r="E45" s="21" t="s">
        <v>489</v>
      </c>
      <c r="F45" s="21" t="s">
        <v>490</v>
      </c>
      <c r="G45" s="21" t="s">
        <v>491</v>
      </c>
      <c r="H45" s="21" t="s">
        <v>492</v>
      </c>
      <c r="I45" s="21" t="s">
        <v>552</v>
      </c>
      <c r="J45" s="21" t="s">
        <v>553</v>
      </c>
      <c r="K45" s="21" t="s">
        <v>533</v>
      </c>
      <c r="L45" s="22">
        <v>1821</v>
      </c>
      <c r="M45" s="21" t="s">
        <v>496</v>
      </c>
      <c r="N45" s="21" t="s">
        <v>497</v>
      </c>
      <c r="O45" s="22">
        <v>821</v>
      </c>
      <c r="P45" s="22">
        <v>36</v>
      </c>
      <c r="Q45" s="23">
        <v>3</v>
      </c>
      <c r="R45" s="24"/>
      <c r="S45" s="21" t="s">
        <v>66</v>
      </c>
      <c r="T45" s="21"/>
      <c r="U45" s="12"/>
      <c r="V45" s="21"/>
      <c r="W45" s="12"/>
      <c r="X45" s="11"/>
      <c r="Y45" s="25"/>
      <c r="Z45" s="11"/>
    </row>
    <row r="46" spans="1:26" x14ac:dyDescent="0.25">
      <c r="A46" s="8" t="str">
        <f>IF(AND(COUNTBLANK('Bid Sheet'!$R$46:$R$46)=1,COUNTBLANK('Bid Sheet'!$U$46:$U$46)=1,COUNTBLANK('Bid Sheet'!$W$46:$Z$46)=4),"",IF(OR(COUNTBLANK('Bid Sheet'!$R$46:$R$46)&gt;0,COUNTBLANK('Bid Sheet'!$X$46:$X$46)&gt;0, SUM(COUNTBLANK('Bid Sheet'!$D$3:$E$3), COUNTBLANK('Bid Sheet'!$D$4:$E$4), COUNTBLANK('Bid Sheet'!$D$5:$E$5), COUNTBLANK('Bid Sheet'!$D$6:$E$6), COUNTBLANK('Bid Sheet'!$D$7:$E$7))&gt;0), "No", "Yes"))</f>
        <v/>
      </c>
      <c r="B46" s="8"/>
      <c r="C46" s="8" t="s">
        <v>160</v>
      </c>
      <c r="D46" s="8" t="s">
        <v>488</v>
      </c>
      <c r="E46" s="8" t="s">
        <v>489</v>
      </c>
      <c r="F46" s="8" t="s">
        <v>490</v>
      </c>
      <c r="G46" s="8" t="s">
        <v>491</v>
      </c>
      <c r="H46" s="8" t="s">
        <v>492</v>
      </c>
      <c r="I46" s="8" t="s">
        <v>552</v>
      </c>
      <c r="J46" s="8" t="s">
        <v>553</v>
      </c>
      <c r="K46" s="8" t="s">
        <v>533</v>
      </c>
      <c r="L46" s="17">
        <v>1821</v>
      </c>
      <c r="M46" s="8" t="s">
        <v>534</v>
      </c>
      <c r="N46" s="8" t="s">
        <v>497</v>
      </c>
      <c r="O46" s="17">
        <v>367</v>
      </c>
      <c r="P46" s="17">
        <v>16</v>
      </c>
      <c r="Q46" s="18">
        <v>1.3</v>
      </c>
      <c r="R46" s="19"/>
      <c r="S46" s="8" t="s">
        <v>66</v>
      </c>
      <c r="T46" s="8"/>
      <c r="U46" s="10"/>
      <c r="V46" s="8"/>
      <c r="W46" s="10"/>
      <c r="X46" s="9"/>
      <c r="Y46" s="20"/>
      <c r="Z46" s="9"/>
    </row>
    <row r="47" spans="1:26" x14ac:dyDescent="0.25">
      <c r="A47" s="21" t="str">
        <f>IF(AND(COUNTBLANK('Bid Sheet'!$R$47:$R$47)=1,COUNTBLANK('Bid Sheet'!$U$47:$U$47)=1,COUNTBLANK('Bid Sheet'!$W$47:$Z$47)=4),"",IF(OR(COUNTBLANK('Bid Sheet'!$R$47:$R$47)&gt;0,COUNTBLANK('Bid Sheet'!$X$47:$X$47)&gt;0, SUM(COUNTBLANK('Bid Sheet'!$D$3:$E$3), COUNTBLANK('Bid Sheet'!$D$4:$E$4), COUNTBLANK('Bid Sheet'!$D$5:$E$5), COUNTBLANK('Bid Sheet'!$D$6:$E$6), COUNTBLANK('Bid Sheet'!$D$7:$E$7))&gt;0), "No", "Yes"))</f>
        <v/>
      </c>
      <c r="B47" s="21"/>
      <c r="C47" s="21" t="s">
        <v>161</v>
      </c>
      <c r="D47" s="21" t="s">
        <v>488</v>
      </c>
      <c r="E47" s="21" t="s">
        <v>489</v>
      </c>
      <c r="F47" s="21" t="s">
        <v>490</v>
      </c>
      <c r="G47" s="21" t="s">
        <v>491</v>
      </c>
      <c r="H47" s="21" t="s">
        <v>492</v>
      </c>
      <c r="I47" s="21" t="s">
        <v>554</v>
      </c>
      <c r="J47" s="21" t="s">
        <v>555</v>
      </c>
      <c r="K47" s="21" t="s">
        <v>533</v>
      </c>
      <c r="L47" s="22">
        <v>1827</v>
      </c>
      <c r="M47" s="21" t="s">
        <v>496</v>
      </c>
      <c r="N47" s="21" t="s">
        <v>497</v>
      </c>
      <c r="O47" s="22">
        <v>825</v>
      </c>
      <c r="P47" s="22">
        <v>30</v>
      </c>
      <c r="Q47" s="23">
        <v>2.5</v>
      </c>
      <c r="R47" s="24"/>
      <c r="S47" s="21" t="s">
        <v>66</v>
      </c>
      <c r="T47" s="21"/>
      <c r="U47" s="12"/>
      <c r="V47" s="21"/>
      <c r="W47" s="12"/>
      <c r="X47" s="11"/>
      <c r="Y47" s="25"/>
      <c r="Z47" s="11"/>
    </row>
    <row r="48" spans="1:26" x14ac:dyDescent="0.25">
      <c r="A48" s="8" t="str">
        <f>IF(AND(COUNTBLANK('Bid Sheet'!$R$48:$R$48)=1,COUNTBLANK('Bid Sheet'!$U$48:$U$48)=1,COUNTBLANK('Bid Sheet'!$W$48:$Z$48)=4),"",IF(OR(COUNTBLANK('Bid Sheet'!$R$48:$R$48)&gt;0,COUNTBLANK('Bid Sheet'!$X$48:$X$48)&gt;0, SUM(COUNTBLANK('Bid Sheet'!$D$3:$E$3), COUNTBLANK('Bid Sheet'!$D$4:$E$4), COUNTBLANK('Bid Sheet'!$D$5:$E$5), COUNTBLANK('Bid Sheet'!$D$6:$E$6), COUNTBLANK('Bid Sheet'!$D$7:$E$7))&gt;0), "No", "Yes"))</f>
        <v/>
      </c>
      <c r="B48" s="8"/>
      <c r="C48" s="8" t="s">
        <v>162</v>
      </c>
      <c r="D48" s="8" t="s">
        <v>488</v>
      </c>
      <c r="E48" s="8" t="s">
        <v>489</v>
      </c>
      <c r="F48" s="8" t="s">
        <v>490</v>
      </c>
      <c r="G48" s="8" t="s">
        <v>491</v>
      </c>
      <c r="H48" s="8" t="s">
        <v>492</v>
      </c>
      <c r="I48" s="8" t="s">
        <v>554</v>
      </c>
      <c r="J48" s="8" t="s">
        <v>555</v>
      </c>
      <c r="K48" s="8" t="s">
        <v>533</v>
      </c>
      <c r="L48" s="17">
        <v>1827</v>
      </c>
      <c r="M48" s="8" t="s">
        <v>534</v>
      </c>
      <c r="N48" s="8" t="s">
        <v>497</v>
      </c>
      <c r="O48" s="17">
        <v>364</v>
      </c>
      <c r="P48" s="17">
        <v>10</v>
      </c>
      <c r="Q48" s="18">
        <v>0.8</v>
      </c>
      <c r="R48" s="19"/>
      <c r="S48" s="8" t="s">
        <v>66</v>
      </c>
      <c r="T48" s="8"/>
      <c r="U48" s="10"/>
      <c r="V48" s="8"/>
      <c r="W48" s="10"/>
      <c r="X48" s="9"/>
      <c r="Y48" s="20"/>
      <c r="Z48" s="9"/>
    </row>
    <row r="49" spans="1:26" x14ac:dyDescent="0.25">
      <c r="A49" s="21" t="str">
        <f>IF(AND(COUNTBLANK('Bid Sheet'!$R$49:$R$49)=1,COUNTBLANK('Bid Sheet'!$U$49:$U$49)=1,COUNTBLANK('Bid Sheet'!$W$49:$Z$49)=4),"",IF(OR(COUNTBLANK('Bid Sheet'!$R$49:$R$49)&gt;0,COUNTBLANK('Bid Sheet'!$X$49:$X$49)&gt;0, SUM(COUNTBLANK('Bid Sheet'!$D$3:$E$3), COUNTBLANK('Bid Sheet'!$D$4:$E$4), COUNTBLANK('Bid Sheet'!$D$5:$E$5), COUNTBLANK('Bid Sheet'!$D$6:$E$6), COUNTBLANK('Bid Sheet'!$D$7:$E$7))&gt;0), "No", "Yes"))</f>
        <v/>
      </c>
      <c r="B49" s="21"/>
      <c r="C49" s="21" t="s">
        <v>163</v>
      </c>
      <c r="D49" s="21" t="s">
        <v>488</v>
      </c>
      <c r="E49" s="21" t="s">
        <v>489</v>
      </c>
      <c r="F49" s="21" t="s">
        <v>490</v>
      </c>
      <c r="G49" s="21" t="s">
        <v>491</v>
      </c>
      <c r="H49" s="21" t="s">
        <v>492</v>
      </c>
      <c r="I49" s="21" t="s">
        <v>556</v>
      </c>
      <c r="J49" s="21" t="s">
        <v>557</v>
      </c>
      <c r="K49" s="21" t="s">
        <v>533</v>
      </c>
      <c r="L49" s="22">
        <v>1749</v>
      </c>
      <c r="M49" s="21" t="s">
        <v>496</v>
      </c>
      <c r="N49" s="21" t="s">
        <v>497</v>
      </c>
      <c r="O49" s="22">
        <v>787</v>
      </c>
      <c r="P49" s="22">
        <v>24</v>
      </c>
      <c r="Q49" s="23">
        <v>2</v>
      </c>
      <c r="R49" s="24"/>
      <c r="S49" s="21" t="s">
        <v>66</v>
      </c>
      <c r="T49" s="21"/>
      <c r="U49" s="12"/>
      <c r="V49" s="21"/>
      <c r="W49" s="12"/>
      <c r="X49" s="11"/>
      <c r="Y49" s="25"/>
      <c r="Z49" s="11"/>
    </row>
    <row r="50" spans="1:26" x14ac:dyDescent="0.25">
      <c r="A50" s="8" t="str">
        <f>IF(AND(COUNTBLANK('Bid Sheet'!$R$50:$R$50)=1,COUNTBLANK('Bid Sheet'!$U$50:$U$50)=1,COUNTBLANK('Bid Sheet'!$W$50:$Z$50)=4),"",IF(OR(COUNTBLANK('Bid Sheet'!$R$50:$R$50)&gt;0,COUNTBLANK('Bid Sheet'!$X$50:$X$50)&gt;0, SUM(COUNTBLANK('Bid Sheet'!$D$3:$E$3), COUNTBLANK('Bid Sheet'!$D$4:$E$4), COUNTBLANK('Bid Sheet'!$D$5:$E$5), COUNTBLANK('Bid Sheet'!$D$6:$E$6), COUNTBLANK('Bid Sheet'!$D$7:$E$7))&gt;0), "No", "Yes"))</f>
        <v/>
      </c>
      <c r="B50" s="8"/>
      <c r="C50" s="8" t="s">
        <v>164</v>
      </c>
      <c r="D50" s="8" t="s">
        <v>488</v>
      </c>
      <c r="E50" s="8" t="s">
        <v>489</v>
      </c>
      <c r="F50" s="8" t="s">
        <v>490</v>
      </c>
      <c r="G50" s="8" t="s">
        <v>491</v>
      </c>
      <c r="H50" s="8" t="s">
        <v>492</v>
      </c>
      <c r="I50" s="8" t="s">
        <v>556</v>
      </c>
      <c r="J50" s="8" t="s">
        <v>557</v>
      </c>
      <c r="K50" s="8" t="s">
        <v>533</v>
      </c>
      <c r="L50" s="17">
        <v>1749</v>
      </c>
      <c r="M50" s="8" t="s">
        <v>534</v>
      </c>
      <c r="N50" s="8" t="s">
        <v>497</v>
      </c>
      <c r="O50" s="17">
        <v>376</v>
      </c>
      <c r="P50" s="17">
        <v>4</v>
      </c>
      <c r="Q50" s="18">
        <v>0.3</v>
      </c>
      <c r="R50" s="19"/>
      <c r="S50" s="8" t="s">
        <v>66</v>
      </c>
      <c r="T50" s="8"/>
      <c r="U50" s="10"/>
      <c r="V50" s="8"/>
      <c r="W50" s="10"/>
      <c r="X50" s="9"/>
      <c r="Y50" s="20"/>
      <c r="Z50" s="9"/>
    </row>
    <row r="51" spans="1:26" x14ac:dyDescent="0.25">
      <c r="A51" s="21" t="str">
        <f>IF(AND(COUNTBLANK('Bid Sheet'!$R$51:$R$51)=1,COUNTBLANK('Bid Sheet'!$U$51:$U$51)=1,COUNTBLANK('Bid Sheet'!$W$51:$Z$51)=4),"",IF(OR(COUNTBLANK('Bid Sheet'!$R$51:$R$51)&gt;0,COUNTBLANK('Bid Sheet'!$X$51:$X$51)&gt;0, SUM(COUNTBLANK('Bid Sheet'!$D$3:$E$3), COUNTBLANK('Bid Sheet'!$D$4:$E$4), COUNTBLANK('Bid Sheet'!$D$5:$E$5), COUNTBLANK('Bid Sheet'!$D$6:$E$6), COUNTBLANK('Bid Sheet'!$D$7:$E$7))&gt;0), "No", "Yes"))</f>
        <v/>
      </c>
      <c r="B51" s="21"/>
      <c r="C51" s="21" t="s">
        <v>165</v>
      </c>
      <c r="D51" s="21" t="s">
        <v>488</v>
      </c>
      <c r="E51" s="21" t="s">
        <v>489</v>
      </c>
      <c r="F51" s="21" t="s">
        <v>490</v>
      </c>
      <c r="G51" s="21" t="s">
        <v>491</v>
      </c>
      <c r="H51" s="21" t="s">
        <v>492</v>
      </c>
      <c r="I51" s="21" t="s">
        <v>558</v>
      </c>
      <c r="J51" s="21" t="s">
        <v>559</v>
      </c>
      <c r="K51" s="21" t="s">
        <v>533</v>
      </c>
      <c r="L51" s="22">
        <v>1749</v>
      </c>
      <c r="M51" s="21" t="s">
        <v>496</v>
      </c>
      <c r="N51" s="21" t="s">
        <v>497</v>
      </c>
      <c r="O51" s="22">
        <v>787</v>
      </c>
      <c r="P51" s="22">
        <v>10</v>
      </c>
      <c r="Q51" s="23">
        <v>0.8</v>
      </c>
      <c r="R51" s="24"/>
      <c r="S51" s="21" t="s">
        <v>66</v>
      </c>
      <c r="T51" s="21"/>
      <c r="U51" s="12"/>
      <c r="V51" s="21"/>
      <c r="W51" s="12"/>
      <c r="X51" s="11"/>
      <c r="Y51" s="25"/>
      <c r="Z51" s="11"/>
    </row>
    <row r="52" spans="1:26" x14ac:dyDescent="0.25">
      <c r="A52" s="8" t="str">
        <f>IF(AND(COUNTBLANK('Bid Sheet'!$R$52:$R$52)=1,COUNTBLANK('Bid Sheet'!$U$52:$U$52)=1,COUNTBLANK('Bid Sheet'!$W$52:$Z$52)=4),"",IF(OR(COUNTBLANK('Bid Sheet'!$R$52:$R$52)&gt;0,COUNTBLANK('Bid Sheet'!$X$52:$X$52)&gt;0, SUM(COUNTBLANK('Bid Sheet'!$D$3:$E$3), COUNTBLANK('Bid Sheet'!$D$4:$E$4), COUNTBLANK('Bid Sheet'!$D$5:$E$5), COUNTBLANK('Bid Sheet'!$D$6:$E$6), COUNTBLANK('Bid Sheet'!$D$7:$E$7))&gt;0), "No", "Yes"))</f>
        <v/>
      </c>
      <c r="B52" s="8"/>
      <c r="C52" s="8" t="s">
        <v>166</v>
      </c>
      <c r="D52" s="8" t="s">
        <v>488</v>
      </c>
      <c r="E52" s="8" t="s">
        <v>489</v>
      </c>
      <c r="F52" s="8" t="s">
        <v>490</v>
      </c>
      <c r="G52" s="8" t="s">
        <v>491</v>
      </c>
      <c r="H52" s="8" t="s">
        <v>492</v>
      </c>
      <c r="I52" s="8" t="s">
        <v>558</v>
      </c>
      <c r="J52" s="8" t="s">
        <v>559</v>
      </c>
      <c r="K52" s="8" t="s">
        <v>533</v>
      </c>
      <c r="L52" s="17">
        <v>1749</v>
      </c>
      <c r="M52" s="8" t="s">
        <v>534</v>
      </c>
      <c r="N52" s="8" t="s">
        <v>497</v>
      </c>
      <c r="O52" s="17">
        <v>378</v>
      </c>
      <c r="P52" s="17">
        <v>4</v>
      </c>
      <c r="Q52" s="18">
        <v>0.3</v>
      </c>
      <c r="R52" s="19"/>
      <c r="S52" s="8" t="s">
        <v>66</v>
      </c>
      <c r="T52" s="8"/>
      <c r="U52" s="10"/>
      <c r="V52" s="8"/>
      <c r="W52" s="10"/>
      <c r="X52" s="9"/>
      <c r="Y52" s="20"/>
      <c r="Z52" s="9"/>
    </row>
    <row r="53" spans="1:26" x14ac:dyDescent="0.25">
      <c r="A53" s="21" t="str">
        <f>IF(AND(COUNTBLANK('Bid Sheet'!$R$53:$R$53)=1,COUNTBLANK('Bid Sheet'!$U$53:$U$53)=1,COUNTBLANK('Bid Sheet'!$W$53:$Z$53)=4),"",IF(OR(COUNTBLANK('Bid Sheet'!$R$53:$R$53)&gt;0,COUNTBLANK('Bid Sheet'!$X$53:$X$53)&gt;0, SUM(COUNTBLANK('Bid Sheet'!$D$3:$E$3), COUNTBLANK('Bid Sheet'!$D$4:$E$4), COUNTBLANK('Bid Sheet'!$D$5:$E$5), COUNTBLANK('Bid Sheet'!$D$6:$E$6), COUNTBLANK('Bid Sheet'!$D$7:$E$7))&gt;0), "No", "Yes"))</f>
        <v/>
      </c>
      <c r="B53" s="21"/>
      <c r="C53" s="21" t="s">
        <v>167</v>
      </c>
      <c r="D53" s="21" t="s">
        <v>488</v>
      </c>
      <c r="E53" s="21" t="s">
        <v>489</v>
      </c>
      <c r="F53" s="21" t="s">
        <v>490</v>
      </c>
      <c r="G53" s="21" t="s">
        <v>491</v>
      </c>
      <c r="H53" s="21" t="s">
        <v>492</v>
      </c>
      <c r="I53" s="21" t="s">
        <v>560</v>
      </c>
      <c r="J53" s="21" t="s">
        <v>559</v>
      </c>
      <c r="K53" s="21" t="s">
        <v>533</v>
      </c>
      <c r="L53" s="22">
        <v>1749</v>
      </c>
      <c r="M53" s="21" t="s">
        <v>496</v>
      </c>
      <c r="N53" s="21" t="s">
        <v>497</v>
      </c>
      <c r="O53" s="22">
        <v>788</v>
      </c>
      <c r="P53" s="22">
        <v>10</v>
      </c>
      <c r="Q53" s="23">
        <v>0.8</v>
      </c>
      <c r="R53" s="24"/>
      <c r="S53" s="21" t="s">
        <v>66</v>
      </c>
      <c r="T53" s="21"/>
      <c r="U53" s="12"/>
      <c r="V53" s="21"/>
      <c r="W53" s="12"/>
      <c r="X53" s="11"/>
      <c r="Y53" s="25"/>
      <c r="Z53" s="11"/>
    </row>
    <row r="54" spans="1:26" x14ac:dyDescent="0.25">
      <c r="A54" s="8" t="str">
        <f>IF(AND(COUNTBLANK('Bid Sheet'!$R$54:$R$54)=1,COUNTBLANK('Bid Sheet'!$U$54:$U$54)=1,COUNTBLANK('Bid Sheet'!$W$54:$Z$54)=4),"",IF(OR(COUNTBLANK('Bid Sheet'!$R$54:$R$54)&gt;0,COUNTBLANK('Bid Sheet'!$X$54:$X$54)&gt;0, SUM(COUNTBLANK('Bid Sheet'!$D$3:$E$3), COUNTBLANK('Bid Sheet'!$D$4:$E$4), COUNTBLANK('Bid Sheet'!$D$5:$E$5), COUNTBLANK('Bid Sheet'!$D$6:$E$6), COUNTBLANK('Bid Sheet'!$D$7:$E$7))&gt;0), "No", "Yes"))</f>
        <v/>
      </c>
      <c r="B54" s="8"/>
      <c r="C54" s="8" t="s">
        <v>168</v>
      </c>
      <c r="D54" s="8" t="s">
        <v>488</v>
      </c>
      <c r="E54" s="8" t="s">
        <v>489</v>
      </c>
      <c r="F54" s="8" t="s">
        <v>490</v>
      </c>
      <c r="G54" s="8" t="s">
        <v>491</v>
      </c>
      <c r="H54" s="8" t="s">
        <v>492</v>
      </c>
      <c r="I54" s="8" t="s">
        <v>560</v>
      </c>
      <c r="J54" s="8" t="s">
        <v>559</v>
      </c>
      <c r="K54" s="8" t="s">
        <v>533</v>
      </c>
      <c r="L54" s="17">
        <v>1749</v>
      </c>
      <c r="M54" s="8" t="s">
        <v>534</v>
      </c>
      <c r="N54" s="8" t="s">
        <v>497</v>
      </c>
      <c r="O54" s="17">
        <v>380</v>
      </c>
      <c r="P54" s="17">
        <v>2</v>
      </c>
      <c r="Q54" s="18">
        <v>0.2</v>
      </c>
      <c r="R54" s="19"/>
      <c r="S54" s="8" t="s">
        <v>66</v>
      </c>
      <c r="T54" s="8"/>
      <c r="U54" s="10"/>
      <c r="V54" s="8"/>
      <c r="W54" s="10"/>
      <c r="X54" s="9"/>
      <c r="Y54" s="20"/>
      <c r="Z54" s="9"/>
    </row>
    <row r="55" spans="1:26" x14ac:dyDescent="0.25">
      <c r="A55" s="21" t="str">
        <f>IF(AND(COUNTBLANK('Bid Sheet'!$R$55:$R$55)=1,COUNTBLANK('Bid Sheet'!$U$55:$U$55)=1,COUNTBLANK('Bid Sheet'!$W$55:$Z$55)=4),"",IF(OR(COUNTBLANK('Bid Sheet'!$R$55:$R$55)&gt;0,COUNTBLANK('Bid Sheet'!$X$55:$X$55)&gt;0, SUM(COUNTBLANK('Bid Sheet'!$D$3:$E$3), COUNTBLANK('Bid Sheet'!$D$4:$E$4), COUNTBLANK('Bid Sheet'!$D$5:$E$5), COUNTBLANK('Bid Sheet'!$D$6:$E$6), COUNTBLANK('Bid Sheet'!$D$7:$E$7))&gt;0), "No", "Yes"))</f>
        <v/>
      </c>
      <c r="B55" s="21"/>
      <c r="C55" s="21" t="s">
        <v>169</v>
      </c>
      <c r="D55" s="21" t="s">
        <v>488</v>
      </c>
      <c r="E55" s="21" t="s">
        <v>489</v>
      </c>
      <c r="F55" s="21" t="s">
        <v>490</v>
      </c>
      <c r="G55" s="21" t="s">
        <v>491</v>
      </c>
      <c r="H55" s="21" t="s">
        <v>492</v>
      </c>
      <c r="I55" s="21" t="s">
        <v>561</v>
      </c>
      <c r="J55" s="21" t="s">
        <v>562</v>
      </c>
      <c r="K55" s="21" t="s">
        <v>533</v>
      </c>
      <c r="L55" s="22">
        <v>1496</v>
      </c>
      <c r="M55" s="21" t="s">
        <v>496</v>
      </c>
      <c r="N55" s="21" t="s">
        <v>497</v>
      </c>
      <c r="O55" s="22">
        <v>738</v>
      </c>
      <c r="P55" s="22">
        <v>14</v>
      </c>
      <c r="Q55" s="23">
        <v>1.2</v>
      </c>
      <c r="R55" s="24"/>
      <c r="S55" s="21" t="s">
        <v>66</v>
      </c>
      <c r="T55" s="21"/>
      <c r="U55" s="12"/>
      <c r="V55" s="21"/>
      <c r="W55" s="12"/>
      <c r="X55" s="11"/>
      <c r="Y55" s="25"/>
      <c r="Z55" s="11"/>
    </row>
    <row r="56" spans="1:26" x14ac:dyDescent="0.25">
      <c r="A56" s="8" t="str">
        <f>IF(AND(COUNTBLANK('Bid Sheet'!$R$56:$R$56)=1,COUNTBLANK('Bid Sheet'!$U$56:$U$56)=1,COUNTBLANK('Bid Sheet'!$W$56:$Z$56)=4),"",IF(OR(COUNTBLANK('Bid Sheet'!$R$56:$R$56)&gt;0,COUNTBLANK('Bid Sheet'!$X$56:$X$56)&gt;0, SUM(COUNTBLANK('Bid Sheet'!$D$3:$E$3), COUNTBLANK('Bid Sheet'!$D$4:$E$4), COUNTBLANK('Bid Sheet'!$D$5:$E$5), COUNTBLANK('Bid Sheet'!$D$6:$E$6), COUNTBLANK('Bid Sheet'!$D$7:$E$7))&gt;0), "No", "Yes"))</f>
        <v/>
      </c>
      <c r="B56" s="8"/>
      <c r="C56" s="8" t="s">
        <v>170</v>
      </c>
      <c r="D56" s="8" t="s">
        <v>488</v>
      </c>
      <c r="E56" s="8" t="s">
        <v>489</v>
      </c>
      <c r="F56" s="8" t="s">
        <v>490</v>
      </c>
      <c r="G56" s="8" t="s">
        <v>491</v>
      </c>
      <c r="H56" s="8" t="s">
        <v>492</v>
      </c>
      <c r="I56" s="8" t="s">
        <v>561</v>
      </c>
      <c r="J56" s="8" t="s">
        <v>562</v>
      </c>
      <c r="K56" s="8" t="s">
        <v>533</v>
      </c>
      <c r="L56" s="17">
        <v>1496</v>
      </c>
      <c r="M56" s="8" t="s">
        <v>534</v>
      </c>
      <c r="N56" s="8" t="s">
        <v>497</v>
      </c>
      <c r="O56" s="17">
        <v>296</v>
      </c>
      <c r="P56" s="17">
        <v>5</v>
      </c>
      <c r="Q56" s="18">
        <v>0.4</v>
      </c>
      <c r="R56" s="19"/>
      <c r="S56" s="8" t="s">
        <v>66</v>
      </c>
      <c r="T56" s="8"/>
      <c r="U56" s="10"/>
      <c r="V56" s="8"/>
      <c r="W56" s="10"/>
      <c r="X56" s="9"/>
      <c r="Y56" s="20"/>
      <c r="Z56" s="9"/>
    </row>
    <row r="57" spans="1:26" x14ac:dyDescent="0.25">
      <c r="A57" s="21" t="str">
        <f>IF(AND(COUNTBLANK('Bid Sheet'!$R$57:$R$57)=1,COUNTBLANK('Bid Sheet'!$U$57:$U$57)=1,COUNTBLANK('Bid Sheet'!$W$57:$Z$57)=4),"",IF(OR(COUNTBLANK('Bid Sheet'!$R$57:$R$57)&gt;0,COUNTBLANK('Bid Sheet'!$X$57:$X$57)&gt;0, SUM(COUNTBLANK('Bid Sheet'!$D$3:$E$3), COUNTBLANK('Bid Sheet'!$D$4:$E$4), COUNTBLANK('Bid Sheet'!$D$5:$E$5), COUNTBLANK('Bid Sheet'!$D$6:$E$6), COUNTBLANK('Bid Sheet'!$D$7:$E$7))&gt;0), "No", "Yes"))</f>
        <v/>
      </c>
      <c r="B57" s="21"/>
      <c r="C57" s="21" t="s">
        <v>171</v>
      </c>
      <c r="D57" s="21" t="s">
        <v>488</v>
      </c>
      <c r="E57" s="21" t="s">
        <v>489</v>
      </c>
      <c r="F57" s="21" t="s">
        <v>490</v>
      </c>
      <c r="G57" s="21" t="s">
        <v>491</v>
      </c>
      <c r="H57" s="21" t="s">
        <v>492</v>
      </c>
      <c r="I57" s="21" t="s">
        <v>563</v>
      </c>
      <c r="J57" s="21" t="s">
        <v>564</v>
      </c>
      <c r="K57" s="21" t="s">
        <v>533</v>
      </c>
      <c r="L57" s="22">
        <v>1498</v>
      </c>
      <c r="M57" s="21" t="s">
        <v>496</v>
      </c>
      <c r="N57" s="21" t="s">
        <v>497</v>
      </c>
      <c r="O57" s="22">
        <v>731</v>
      </c>
      <c r="P57" s="22">
        <v>30</v>
      </c>
      <c r="Q57" s="23">
        <v>2.5</v>
      </c>
      <c r="R57" s="24"/>
      <c r="S57" s="21" t="s">
        <v>66</v>
      </c>
      <c r="T57" s="21"/>
      <c r="U57" s="12"/>
      <c r="V57" s="21"/>
      <c r="W57" s="12"/>
      <c r="X57" s="11"/>
      <c r="Y57" s="25"/>
      <c r="Z57" s="11"/>
    </row>
    <row r="58" spans="1:26" x14ac:dyDescent="0.25">
      <c r="A58" s="8" t="str">
        <f>IF(AND(COUNTBLANK('Bid Sheet'!$R$58:$R$58)=1,COUNTBLANK('Bid Sheet'!$U$58:$U$58)=1,COUNTBLANK('Bid Sheet'!$W$58:$Z$58)=4),"",IF(OR(COUNTBLANK('Bid Sheet'!$R$58:$R$58)&gt;0,COUNTBLANK('Bid Sheet'!$X$58:$X$58)&gt;0, SUM(COUNTBLANK('Bid Sheet'!$D$3:$E$3), COUNTBLANK('Bid Sheet'!$D$4:$E$4), COUNTBLANK('Bid Sheet'!$D$5:$E$5), COUNTBLANK('Bid Sheet'!$D$6:$E$6), COUNTBLANK('Bid Sheet'!$D$7:$E$7))&gt;0), "No", "Yes"))</f>
        <v/>
      </c>
      <c r="B58" s="8"/>
      <c r="C58" s="8" t="s">
        <v>172</v>
      </c>
      <c r="D58" s="8" t="s">
        <v>488</v>
      </c>
      <c r="E58" s="8" t="s">
        <v>489</v>
      </c>
      <c r="F58" s="8" t="s">
        <v>490</v>
      </c>
      <c r="G58" s="8" t="s">
        <v>491</v>
      </c>
      <c r="H58" s="8" t="s">
        <v>492</v>
      </c>
      <c r="I58" s="8" t="s">
        <v>563</v>
      </c>
      <c r="J58" s="8" t="s">
        <v>564</v>
      </c>
      <c r="K58" s="8" t="s">
        <v>533</v>
      </c>
      <c r="L58" s="17">
        <v>1498</v>
      </c>
      <c r="M58" s="8" t="s">
        <v>534</v>
      </c>
      <c r="N58" s="8" t="s">
        <v>497</v>
      </c>
      <c r="O58" s="17">
        <v>295</v>
      </c>
      <c r="P58" s="17">
        <v>17</v>
      </c>
      <c r="Q58" s="18">
        <v>1.4</v>
      </c>
      <c r="R58" s="19"/>
      <c r="S58" s="8" t="s">
        <v>66</v>
      </c>
      <c r="T58" s="8"/>
      <c r="U58" s="10"/>
      <c r="V58" s="8"/>
      <c r="W58" s="10"/>
      <c r="X58" s="9"/>
      <c r="Y58" s="20"/>
      <c r="Z58" s="9"/>
    </row>
    <row r="59" spans="1:26" x14ac:dyDescent="0.25">
      <c r="A59" s="21" t="str">
        <f>IF(AND(COUNTBLANK('Bid Sheet'!$R$59:$R$59)=1,COUNTBLANK('Bid Sheet'!$U$59:$U$59)=1,COUNTBLANK('Bid Sheet'!$W$59:$Z$59)=4),"",IF(OR(COUNTBLANK('Bid Sheet'!$R$59:$R$59)&gt;0,COUNTBLANK('Bid Sheet'!$X$59:$X$59)&gt;0, SUM(COUNTBLANK('Bid Sheet'!$D$3:$E$3), COUNTBLANK('Bid Sheet'!$D$4:$E$4), COUNTBLANK('Bid Sheet'!$D$5:$E$5), COUNTBLANK('Bid Sheet'!$D$6:$E$6), COUNTBLANK('Bid Sheet'!$D$7:$E$7))&gt;0), "No", "Yes"))</f>
        <v/>
      </c>
      <c r="B59" s="21"/>
      <c r="C59" s="21" t="s">
        <v>173</v>
      </c>
      <c r="D59" s="21" t="s">
        <v>488</v>
      </c>
      <c r="E59" s="21" t="s">
        <v>489</v>
      </c>
      <c r="F59" s="21" t="s">
        <v>490</v>
      </c>
      <c r="G59" s="21" t="s">
        <v>491</v>
      </c>
      <c r="H59" s="21" t="s">
        <v>492</v>
      </c>
      <c r="I59" s="21" t="s">
        <v>565</v>
      </c>
      <c r="J59" s="21" t="s">
        <v>542</v>
      </c>
      <c r="K59" s="21" t="s">
        <v>533</v>
      </c>
      <c r="L59" s="22">
        <v>1511</v>
      </c>
      <c r="M59" s="21" t="s">
        <v>496</v>
      </c>
      <c r="N59" s="21" t="s">
        <v>497</v>
      </c>
      <c r="O59" s="22">
        <v>742</v>
      </c>
      <c r="P59" s="22">
        <v>8</v>
      </c>
      <c r="Q59" s="23">
        <v>0.7</v>
      </c>
      <c r="R59" s="24"/>
      <c r="S59" s="21" t="s">
        <v>66</v>
      </c>
      <c r="T59" s="21"/>
      <c r="U59" s="12"/>
      <c r="V59" s="21"/>
      <c r="W59" s="12"/>
      <c r="X59" s="11"/>
      <c r="Y59" s="25"/>
      <c r="Z59" s="11"/>
    </row>
    <row r="60" spans="1:26" x14ac:dyDescent="0.25">
      <c r="A60" s="8" t="str">
        <f>IF(AND(COUNTBLANK('Bid Sheet'!$R$60:$R$60)=1,COUNTBLANK('Bid Sheet'!$U$60:$U$60)=1,COUNTBLANK('Bid Sheet'!$W$60:$Z$60)=4),"",IF(OR(COUNTBLANK('Bid Sheet'!$R$60:$R$60)&gt;0,COUNTBLANK('Bid Sheet'!$X$60:$X$60)&gt;0, SUM(COUNTBLANK('Bid Sheet'!$D$3:$E$3), COUNTBLANK('Bid Sheet'!$D$4:$E$4), COUNTBLANK('Bid Sheet'!$D$5:$E$5), COUNTBLANK('Bid Sheet'!$D$6:$E$6), COUNTBLANK('Bid Sheet'!$D$7:$E$7))&gt;0), "No", "Yes"))</f>
        <v/>
      </c>
      <c r="B60" s="8"/>
      <c r="C60" s="8" t="s">
        <v>174</v>
      </c>
      <c r="D60" s="8" t="s">
        <v>488</v>
      </c>
      <c r="E60" s="8" t="s">
        <v>489</v>
      </c>
      <c r="F60" s="8" t="s">
        <v>490</v>
      </c>
      <c r="G60" s="8" t="s">
        <v>491</v>
      </c>
      <c r="H60" s="8" t="s">
        <v>492</v>
      </c>
      <c r="I60" s="8" t="s">
        <v>565</v>
      </c>
      <c r="J60" s="8" t="s">
        <v>542</v>
      </c>
      <c r="K60" s="8" t="s">
        <v>533</v>
      </c>
      <c r="L60" s="17">
        <v>1511</v>
      </c>
      <c r="M60" s="8" t="s">
        <v>534</v>
      </c>
      <c r="N60" s="8" t="s">
        <v>497</v>
      </c>
      <c r="O60" s="17">
        <v>303</v>
      </c>
      <c r="P60" s="17">
        <v>2</v>
      </c>
      <c r="Q60" s="18">
        <v>0.2</v>
      </c>
      <c r="R60" s="19"/>
      <c r="S60" s="8" t="s">
        <v>66</v>
      </c>
      <c r="T60" s="8"/>
      <c r="U60" s="10"/>
      <c r="V60" s="8"/>
      <c r="W60" s="10"/>
      <c r="X60" s="9"/>
      <c r="Y60" s="20"/>
      <c r="Z60" s="9"/>
    </row>
    <row r="61" spans="1:26" x14ac:dyDescent="0.25">
      <c r="A61" s="21" t="str">
        <f>IF(AND(COUNTBLANK('Bid Sheet'!$R$61:$R$61)=1,COUNTBLANK('Bid Sheet'!$U$61:$U$61)=1,COUNTBLANK('Bid Sheet'!$W$61:$Z$61)=4),"",IF(OR(COUNTBLANK('Bid Sheet'!$R$61:$R$61)&gt;0,COUNTBLANK('Bid Sheet'!$X$61:$X$61)&gt;0, SUM(COUNTBLANK('Bid Sheet'!$D$3:$E$3), COUNTBLANK('Bid Sheet'!$D$4:$E$4), COUNTBLANK('Bid Sheet'!$D$5:$E$5), COUNTBLANK('Bid Sheet'!$D$6:$E$6), COUNTBLANK('Bid Sheet'!$D$7:$E$7))&gt;0), "No", "Yes"))</f>
        <v/>
      </c>
      <c r="B61" s="21"/>
      <c r="C61" s="21" t="s">
        <v>175</v>
      </c>
      <c r="D61" s="21" t="s">
        <v>488</v>
      </c>
      <c r="E61" s="21" t="s">
        <v>489</v>
      </c>
      <c r="F61" s="21" t="s">
        <v>490</v>
      </c>
      <c r="G61" s="21" t="s">
        <v>491</v>
      </c>
      <c r="H61" s="21" t="s">
        <v>492</v>
      </c>
      <c r="I61" s="21" t="s">
        <v>566</v>
      </c>
      <c r="J61" s="21" t="s">
        <v>553</v>
      </c>
      <c r="K61" s="21" t="s">
        <v>533</v>
      </c>
      <c r="L61" s="22">
        <v>1802</v>
      </c>
      <c r="M61" s="21" t="s">
        <v>496</v>
      </c>
      <c r="N61" s="21" t="s">
        <v>497</v>
      </c>
      <c r="O61" s="22">
        <v>821</v>
      </c>
      <c r="P61" s="22">
        <v>6</v>
      </c>
      <c r="Q61" s="23">
        <v>0.5</v>
      </c>
      <c r="R61" s="24"/>
      <c r="S61" s="21" t="s">
        <v>66</v>
      </c>
      <c r="T61" s="21"/>
      <c r="U61" s="12"/>
      <c r="V61" s="21"/>
      <c r="W61" s="12"/>
      <c r="X61" s="11"/>
      <c r="Y61" s="25"/>
      <c r="Z61" s="11"/>
    </row>
    <row r="62" spans="1:26" x14ac:dyDescent="0.25">
      <c r="A62" s="8" t="str">
        <f>IF(AND(COUNTBLANK('Bid Sheet'!$R$62:$R$62)=1,COUNTBLANK('Bid Sheet'!$U$62:$U$62)=1,COUNTBLANK('Bid Sheet'!$W$62:$Z$62)=4),"",IF(OR(COUNTBLANK('Bid Sheet'!$R$62:$R$62)&gt;0,COUNTBLANK('Bid Sheet'!$X$62:$X$62)&gt;0, SUM(COUNTBLANK('Bid Sheet'!$D$3:$E$3), COUNTBLANK('Bid Sheet'!$D$4:$E$4), COUNTBLANK('Bid Sheet'!$D$5:$E$5), COUNTBLANK('Bid Sheet'!$D$6:$E$6), COUNTBLANK('Bid Sheet'!$D$7:$E$7))&gt;0), "No", "Yes"))</f>
        <v/>
      </c>
      <c r="B62" s="8"/>
      <c r="C62" s="8" t="s">
        <v>176</v>
      </c>
      <c r="D62" s="8" t="s">
        <v>488</v>
      </c>
      <c r="E62" s="8" t="s">
        <v>489</v>
      </c>
      <c r="F62" s="8" t="s">
        <v>490</v>
      </c>
      <c r="G62" s="8" t="s">
        <v>491</v>
      </c>
      <c r="H62" s="8" t="s">
        <v>492</v>
      </c>
      <c r="I62" s="8" t="s">
        <v>566</v>
      </c>
      <c r="J62" s="8" t="s">
        <v>553</v>
      </c>
      <c r="K62" s="8" t="s">
        <v>533</v>
      </c>
      <c r="L62" s="17">
        <v>1802</v>
      </c>
      <c r="M62" s="8" t="s">
        <v>534</v>
      </c>
      <c r="N62" s="8" t="s">
        <v>497</v>
      </c>
      <c r="O62" s="17">
        <v>367</v>
      </c>
      <c r="P62" s="17">
        <v>6</v>
      </c>
      <c r="Q62" s="18">
        <v>0.5</v>
      </c>
      <c r="R62" s="19"/>
      <c r="S62" s="8" t="s">
        <v>66</v>
      </c>
      <c r="T62" s="8"/>
      <c r="U62" s="10"/>
      <c r="V62" s="8"/>
      <c r="W62" s="10"/>
      <c r="X62" s="9"/>
      <c r="Y62" s="20"/>
      <c r="Z62" s="9"/>
    </row>
    <row r="63" spans="1:26" x14ac:dyDescent="0.25">
      <c r="A63" s="21" t="str">
        <f>IF(AND(COUNTBLANK('Bid Sheet'!$R$63:$R$63)=1,COUNTBLANK('Bid Sheet'!$U$63:$U$63)=1,COUNTBLANK('Bid Sheet'!$W$63:$Z$63)=4),"",IF(OR(COUNTBLANK('Bid Sheet'!$R$63:$R$63)&gt;0,COUNTBLANK('Bid Sheet'!$X$63:$X$63)&gt;0, SUM(COUNTBLANK('Bid Sheet'!$D$3:$E$3), COUNTBLANK('Bid Sheet'!$D$4:$E$4), COUNTBLANK('Bid Sheet'!$D$5:$E$5), COUNTBLANK('Bid Sheet'!$D$6:$E$6), COUNTBLANK('Bid Sheet'!$D$7:$E$7))&gt;0), "No", "Yes"))</f>
        <v/>
      </c>
      <c r="B63" s="21"/>
      <c r="C63" s="21" t="s">
        <v>177</v>
      </c>
      <c r="D63" s="21" t="s">
        <v>488</v>
      </c>
      <c r="E63" s="21" t="s">
        <v>489</v>
      </c>
      <c r="F63" s="21" t="s">
        <v>490</v>
      </c>
      <c r="G63" s="21" t="s">
        <v>491</v>
      </c>
      <c r="H63" s="21" t="s">
        <v>492</v>
      </c>
      <c r="I63" s="21" t="s">
        <v>567</v>
      </c>
      <c r="J63" s="21" t="s">
        <v>568</v>
      </c>
      <c r="K63" s="21" t="s">
        <v>569</v>
      </c>
      <c r="L63" s="22">
        <v>587</v>
      </c>
      <c r="M63" s="21" t="s">
        <v>496</v>
      </c>
      <c r="N63" s="21" t="s">
        <v>497</v>
      </c>
      <c r="O63" s="22">
        <v>259</v>
      </c>
      <c r="P63" s="22">
        <v>24</v>
      </c>
      <c r="Q63" s="23">
        <v>2</v>
      </c>
      <c r="R63" s="24"/>
      <c r="S63" s="21" t="s">
        <v>66</v>
      </c>
      <c r="T63" s="21"/>
      <c r="U63" s="12"/>
      <c r="V63" s="21"/>
      <c r="W63" s="12"/>
      <c r="X63" s="11"/>
      <c r="Y63" s="25"/>
      <c r="Z63" s="11"/>
    </row>
    <row r="64" spans="1:26" x14ac:dyDescent="0.25">
      <c r="A64" s="8" t="str">
        <f>IF(AND(COUNTBLANK('Bid Sheet'!$R$64:$R$64)=1,COUNTBLANK('Bid Sheet'!$U$64:$U$64)=1,COUNTBLANK('Bid Sheet'!$W$64:$Z$64)=4),"",IF(OR(COUNTBLANK('Bid Sheet'!$R$64:$R$64)&gt;0,COUNTBLANK('Bid Sheet'!$X$64:$X$64)&gt;0, SUM(COUNTBLANK('Bid Sheet'!$D$3:$E$3), COUNTBLANK('Bid Sheet'!$D$4:$E$4), COUNTBLANK('Bid Sheet'!$D$5:$E$5), COUNTBLANK('Bid Sheet'!$D$6:$E$6), COUNTBLANK('Bid Sheet'!$D$7:$E$7))&gt;0), "No", "Yes"))</f>
        <v/>
      </c>
      <c r="B64" s="8"/>
      <c r="C64" s="8" t="s">
        <v>178</v>
      </c>
      <c r="D64" s="8" t="s">
        <v>488</v>
      </c>
      <c r="E64" s="8" t="s">
        <v>489</v>
      </c>
      <c r="F64" s="8" t="s">
        <v>502</v>
      </c>
      <c r="G64" s="8" t="s">
        <v>503</v>
      </c>
      <c r="H64" s="8" t="s">
        <v>504</v>
      </c>
      <c r="I64" s="8" t="s">
        <v>570</v>
      </c>
      <c r="J64" s="8" t="s">
        <v>571</v>
      </c>
      <c r="K64" s="8" t="s">
        <v>572</v>
      </c>
      <c r="L64" s="17">
        <v>227</v>
      </c>
      <c r="M64" s="8" t="s">
        <v>496</v>
      </c>
      <c r="N64" s="8" t="s">
        <v>497</v>
      </c>
      <c r="O64" s="17">
        <v>131</v>
      </c>
      <c r="P64" s="17">
        <v>105</v>
      </c>
      <c r="Q64" s="18">
        <v>8.8000000000000007</v>
      </c>
      <c r="R64" s="19"/>
      <c r="S64" s="8" t="s">
        <v>66</v>
      </c>
      <c r="T64" s="8"/>
      <c r="U64" s="10"/>
      <c r="V64" s="8"/>
      <c r="W64" s="10"/>
      <c r="X64" s="9"/>
      <c r="Y64" s="20"/>
      <c r="Z64" s="9"/>
    </row>
    <row r="65" spans="1:26" x14ac:dyDescent="0.25">
      <c r="A65" s="21" t="str">
        <f>IF(AND(COUNTBLANK('Bid Sheet'!$R$65:$R$65)=1,COUNTBLANK('Bid Sheet'!$U$65:$U$65)=1,COUNTBLANK('Bid Sheet'!$W$65:$Z$65)=4),"",IF(OR(COUNTBLANK('Bid Sheet'!$R$65:$R$65)&gt;0,COUNTBLANK('Bid Sheet'!$X$65:$X$65)&gt;0, SUM(COUNTBLANK('Bid Sheet'!$D$3:$E$3), COUNTBLANK('Bid Sheet'!$D$4:$E$4), COUNTBLANK('Bid Sheet'!$D$5:$E$5), COUNTBLANK('Bid Sheet'!$D$6:$E$6), COUNTBLANK('Bid Sheet'!$D$7:$E$7))&gt;0), "No", "Yes"))</f>
        <v/>
      </c>
      <c r="B65" s="21"/>
      <c r="C65" s="21" t="s">
        <v>179</v>
      </c>
      <c r="D65" s="21" t="s">
        <v>488</v>
      </c>
      <c r="E65" s="21" t="s">
        <v>489</v>
      </c>
      <c r="F65" s="21" t="s">
        <v>502</v>
      </c>
      <c r="G65" s="21" t="s">
        <v>503</v>
      </c>
      <c r="H65" s="21" t="s">
        <v>504</v>
      </c>
      <c r="I65" s="21" t="s">
        <v>573</v>
      </c>
      <c r="J65" s="21" t="s">
        <v>574</v>
      </c>
      <c r="K65" s="21" t="s">
        <v>572</v>
      </c>
      <c r="L65" s="22">
        <v>242</v>
      </c>
      <c r="M65" s="21" t="s">
        <v>496</v>
      </c>
      <c r="N65" s="21" t="s">
        <v>497</v>
      </c>
      <c r="O65" s="22">
        <v>136</v>
      </c>
      <c r="P65" s="22">
        <v>32</v>
      </c>
      <c r="Q65" s="23">
        <v>2.7</v>
      </c>
      <c r="R65" s="24"/>
      <c r="S65" s="21" t="s">
        <v>66</v>
      </c>
      <c r="T65" s="21"/>
      <c r="U65" s="12"/>
      <c r="V65" s="21"/>
      <c r="W65" s="12"/>
      <c r="X65" s="11"/>
      <c r="Y65" s="25"/>
      <c r="Z65" s="11"/>
    </row>
    <row r="66" spans="1:26" x14ac:dyDescent="0.25">
      <c r="A66" s="8" t="str">
        <f>IF(AND(COUNTBLANK('Bid Sheet'!$R$66:$R$66)=1,COUNTBLANK('Bid Sheet'!$U$66:$U$66)=1,COUNTBLANK('Bid Sheet'!$W$66:$Z$66)=4),"",IF(OR(COUNTBLANK('Bid Sheet'!$R$66:$R$66)&gt;0,COUNTBLANK('Bid Sheet'!$X$66:$X$66)&gt;0, SUM(COUNTBLANK('Bid Sheet'!$D$3:$E$3), COUNTBLANK('Bid Sheet'!$D$4:$E$4), COUNTBLANK('Bid Sheet'!$D$5:$E$5), COUNTBLANK('Bid Sheet'!$D$6:$E$6), COUNTBLANK('Bid Sheet'!$D$7:$E$7))&gt;0), "No", "Yes"))</f>
        <v/>
      </c>
      <c r="B66" s="8"/>
      <c r="C66" s="8" t="s">
        <v>180</v>
      </c>
      <c r="D66" s="8" t="s">
        <v>488</v>
      </c>
      <c r="E66" s="8" t="s">
        <v>489</v>
      </c>
      <c r="F66" s="8" t="s">
        <v>502</v>
      </c>
      <c r="G66" s="8" t="s">
        <v>503</v>
      </c>
      <c r="H66" s="8" t="s">
        <v>504</v>
      </c>
      <c r="I66" s="8" t="s">
        <v>575</v>
      </c>
      <c r="J66" s="8" t="s">
        <v>576</v>
      </c>
      <c r="K66" s="8" t="s">
        <v>572</v>
      </c>
      <c r="L66" s="17">
        <v>242</v>
      </c>
      <c r="M66" s="8" t="s">
        <v>496</v>
      </c>
      <c r="N66" s="8" t="s">
        <v>497</v>
      </c>
      <c r="O66" s="17">
        <v>136</v>
      </c>
      <c r="P66" s="17">
        <v>10</v>
      </c>
      <c r="Q66" s="18">
        <v>0.8</v>
      </c>
      <c r="R66" s="19"/>
      <c r="S66" s="8" t="s">
        <v>66</v>
      </c>
      <c r="T66" s="8"/>
      <c r="U66" s="10"/>
      <c r="V66" s="8"/>
      <c r="W66" s="10"/>
      <c r="X66" s="9"/>
      <c r="Y66" s="20"/>
      <c r="Z66" s="9"/>
    </row>
    <row r="67" spans="1:26" x14ac:dyDescent="0.25">
      <c r="A67" s="21" t="str">
        <f>IF(AND(COUNTBLANK('Bid Sheet'!$R$67:$R$67)=1,COUNTBLANK('Bid Sheet'!$U$67:$U$67)=1,COUNTBLANK('Bid Sheet'!$W$67:$Z$67)=4),"",IF(OR(COUNTBLANK('Bid Sheet'!$R$67:$R$67)&gt;0,COUNTBLANK('Bid Sheet'!$X$67:$X$67)&gt;0, SUM(COUNTBLANK('Bid Sheet'!$D$3:$E$3), COUNTBLANK('Bid Sheet'!$D$4:$E$4), COUNTBLANK('Bid Sheet'!$D$5:$E$5), COUNTBLANK('Bid Sheet'!$D$6:$E$6), COUNTBLANK('Bid Sheet'!$D$7:$E$7))&gt;0), "No", "Yes"))</f>
        <v/>
      </c>
      <c r="B67" s="21"/>
      <c r="C67" s="21" t="s">
        <v>181</v>
      </c>
      <c r="D67" s="21" t="s">
        <v>488</v>
      </c>
      <c r="E67" s="21" t="s">
        <v>489</v>
      </c>
      <c r="F67" s="21" t="s">
        <v>502</v>
      </c>
      <c r="G67" s="21" t="s">
        <v>503</v>
      </c>
      <c r="H67" s="21" t="s">
        <v>504</v>
      </c>
      <c r="I67" s="21" t="s">
        <v>577</v>
      </c>
      <c r="J67" s="21" t="s">
        <v>578</v>
      </c>
      <c r="K67" s="21" t="s">
        <v>579</v>
      </c>
      <c r="L67" s="22">
        <v>1110</v>
      </c>
      <c r="M67" s="21" t="s">
        <v>496</v>
      </c>
      <c r="N67" s="21" t="s">
        <v>497</v>
      </c>
      <c r="O67" s="22">
        <v>530</v>
      </c>
      <c r="P67" s="22">
        <v>19</v>
      </c>
      <c r="Q67" s="23">
        <v>1.6</v>
      </c>
      <c r="R67" s="24"/>
      <c r="S67" s="21" t="s">
        <v>66</v>
      </c>
      <c r="T67" s="21"/>
      <c r="U67" s="12"/>
      <c r="V67" s="21"/>
      <c r="W67" s="12"/>
      <c r="X67" s="11"/>
      <c r="Y67" s="25"/>
      <c r="Z67" s="11"/>
    </row>
    <row r="68" spans="1:26" x14ac:dyDescent="0.25">
      <c r="A68" s="8" t="str">
        <f>IF(AND(COUNTBLANK('Bid Sheet'!$R$68:$R$68)=1,COUNTBLANK('Bid Sheet'!$U$68:$U$68)=1,COUNTBLANK('Bid Sheet'!$W$68:$Z$68)=4),"",IF(OR(COUNTBLANK('Bid Sheet'!$R$68:$R$68)&gt;0,COUNTBLANK('Bid Sheet'!$X$68:$X$68)&gt;0, SUM(COUNTBLANK('Bid Sheet'!$D$3:$E$3), COUNTBLANK('Bid Sheet'!$D$4:$E$4), COUNTBLANK('Bid Sheet'!$D$5:$E$5), COUNTBLANK('Bid Sheet'!$D$6:$E$6), COUNTBLANK('Bid Sheet'!$D$7:$E$7))&gt;0), "No", "Yes"))</f>
        <v/>
      </c>
      <c r="B68" s="8"/>
      <c r="C68" s="8" t="s">
        <v>182</v>
      </c>
      <c r="D68" s="8" t="s">
        <v>488</v>
      </c>
      <c r="E68" s="8" t="s">
        <v>489</v>
      </c>
      <c r="F68" s="8" t="s">
        <v>502</v>
      </c>
      <c r="G68" s="8" t="s">
        <v>503</v>
      </c>
      <c r="H68" s="8" t="s">
        <v>504</v>
      </c>
      <c r="I68" s="8" t="s">
        <v>580</v>
      </c>
      <c r="J68" s="8" t="s">
        <v>581</v>
      </c>
      <c r="K68" s="8" t="s">
        <v>579</v>
      </c>
      <c r="L68" s="17">
        <v>1057</v>
      </c>
      <c r="M68" s="8" t="s">
        <v>496</v>
      </c>
      <c r="N68" s="8" t="s">
        <v>497</v>
      </c>
      <c r="O68" s="17">
        <v>507</v>
      </c>
      <c r="P68" s="17">
        <v>46</v>
      </c>
      <c r="Q68" s="18">
        <v>3.8</v>
      </c>
      <c r="R68" s="19"/>
      <c r="S68" s="8" t="s">
        <v>66</v>
      </c>
      <c r="T68" s="8"/>
      <c r="U68" s="10"/>
      <c r="V68" s="8"/>
      <c r="W68" s="10"/>
      <c r="X68" s="9"/>
      <c r="Y68" s="20"/>
      <c r="Z68" s="9"/>
    </row>
    <row r="69" spans="1:26" x14ac:dyDescent="0.25">
      <c r="A69" s="21" t="str">
        <f>IF(AND(COUNTBLANK('Bid Sheet'!$R$69:$R$69)=1,COUNTBLANK('Bid Sheet'!$U$69:$U$69)=1,COUNTBLANK('Bid Sheet'!$W$69:$Z$69)=4),"",IF(OR(COUNTBLANK('Bid Sheet'!$R$69:$R$69)&gt;0,COUNTBLANK('Bid Sheet'!$X$69:$X$69)&gt;0, SUM(COUNTBLANK('Bid Sheet'!$D$3:$E$3), COUNTBLANK('Bid Sheet'!$D$4:$E$4), COUNTBLANK('Bid Sheet'!$D$5:$E$5), COUNTBLANK('Bid Sheet'!$D$6:$E$6), COUNTBLANK('Bid Sheet'!$D$7:$E$7))&gt;0), "No", "Yes"))</f>
        <v/>
      </c>
      <c r="B69" s="21"/>
      <c r="C69" s="21" t="s">
        <v>183</v>
      </c>
      <c r="D69" s="21" t="s">
        <v>488</v>
      </c>
      <c r="E69" s="21" t="s">
        <v>489</v>
      </c>
      <c r="F69" s="21" t="s">
        <v>502</v>
      </c>
      <c r="G69" s="21" t="s">
        <v>503</v>
      </c>
      <c r="H69" s="21" t="s">
        <v>504</v>
      </c>
      <c r="I69" s="21" t="s">
        <v>582</v>
      </c>
      <c r="J69" s="21" t="s">
        <v>583</v>
      </c>
      <c r="K69" s="21" t="s">
        <v>579</v>
      </c>
      <c r="L69" s="22">
        <v>1295</v>
      </c>
      <c r="M69" s="21" t="s">
        <v>496</v>
      </c>
      <c r="N69" s="21" t="s">
        <v>497</v>
      </c>
      <c r="O69" s="22">
        <v>525</v>
      </c>
      <c r="P69" s="22">
        <v>24</v>
      </c>
      <c r="Q69" s="23">
        <v>2</v>
      </c>
      <c r="R69" s="24"/>
      <c r="S69" s="21" t="s">
        <v>66</v>
      </c>
      <c r="T69" s="21" t="s">
        <v>501</v>
      </c>
      <c r="U69" s="12"/>
      <c r="V69" s="21"/>
      <c r="W69" s="12"/>
      <c r="X69" s="11"/>
      <c r="Y69" s="25"/>
      <c r="Z69" s="11"/>
    </row>
    <row r="70" spans="1:26" x14ac:dyDescent="0.25">
      <c r="A70" s="8" t="str">
        <f>IF(AND(COUNTBLANK('Bid Sheet'!$R$70:$R$70)=1,COUNTBLANK('Bid Sheet'!$U$70:$U$70)=1,COUNTBLANK('Bid Sheet'!$W$70:$Z$70)=4),"",IF(OR(COUNTBLANK('Bid Sheet'!$R$70:$R$70)&gt;0,COUNTBLANK('Bid Sheet'!$X$70:$X$70)&gt;0, SUM(COUNTBLANK('Bid Sheet'!$D$3:$E$3), COUNTBLANK('Bid Sheet'!$D$4:$E$4), COUNTBLANK('Bid Sheet'!$D$5:$E$5), COUNTBLANK('Bid Sheet'!$D$6:$E$6), COUNTBLANK('Bid Sheet'!$D$7:$E$7))&gt;0), "No", "Yes"))</f>
        <v/>
      </c>
      <c r="B70" s="8"/>
      <c r="C70" s="8" t="s">
        <v>184</v>
      </c>
      <c r="D70" s="8" t="s">
        <v>488</v>
      </c>
      <c r="E70" s="8" t="s">
        <v>489</v>
      </c>
      <c r="F70" s="8" t="s">
        <v>490</v>
      </c>
      <c r="G70" s="8" t="s">
        <v>491</v>
      </c>
      <c r="H70" s="8" t="s">
        <v>492</v>
      </c>
      <c r="I70" s="8" t="s">
        <v>584</v>
      </c>
      <c r="J70" s="8" t="s">
        <v>585</v>
      </c>
      <c r="K70" s="8" t="s">
        <v>579</v>
      </c>
      <c r="L70" s="17">
        <v>1123</v>
      </c>
      <c r="M70" s="8" t="s">
        <v>496</v>
      </c>
      <c r="N70" s="8" t="s">
        <v>497</v>
      </c>
      <c r="O70" s="17">
        <v>488</v>
      </c>
      <c r="P70" s="17">
        <v>19</v>
      </c>
      <c r="Q70" s="18">
        <v>1.6</v>
      </c>
      <c r="R70" s="19"/>
      <c r="S70" s="8" t="s">
        <v>66</v>
      </c>
      <c r="T70" s="8"/>
      <c r="U70" s="10"/>
      <c r="V70" s="8"/>
      <c r="W70" s="10"/>
      <c r="X70" s="9"/>
      <c r="Y70" s="20"/>
      <c r="Z70" s="9"/>
    </row>
    <row r="71" spans="1:26" x14ac:dyDescent="0.25">
      <c r="A71" s="21" t="str">
        <f>IF(AND(COUNTBLANK('Bid Sheet'!$R$71:$R$71)=1,COUNTBLANK('Bid Sheet'!$U$71:$U$71)=1,COUNTBLANK('Bid Sheet'!$W$71:$Z$71)=4),"",IF(OR(COUNTBLANK('Bid Sheet'!$R$71:$R$71)&gt;0,COUNTBLANK('Bid Sheet'!$X$71:$X$71)&gt;0, SUM(COUNTBLANK('Bid Sheet'!$D$3:$E$3), COUNTBLANK('Bid Sheet'!$D$4:$E$4), COUNTBLANK('Bid Sheet'!$D$5:$E$5), COUNTBLANK('Bid Sheet'!$D$6:$E$6), COUNTBLANK('Bid Sheet'!$D$7:$E$7))&gt;0), "No", "Yes"))</f>
        <v/>
      </c>
      <c r="B71" s="21"/>
      <c r="C71" s="21" t="s">
        <v>185</v>
      </c>
      <c r="D71" s="21" t="s">
        <v>488</v>
      </c>
      <c r="E71" s="21" t="s">
        <v>489</v>
      </c>
      <c r="F71" s="21" t="s">
        <v>490</v>
      </c>
      <c r="G71" s="21" t="s">
        <v>491</v>
      </c>
      <c r="H71" s="21" t="s">
        <v>492</v>
      </c>
      <c r="I71" s="21" t="s">
        <v>586</v>
      </c>
      <c r="J71" s="21" t="s">
        <v>587</v>
      </c>
      <c r="K71" s="21" t="s">
        <v>579</v>
      </c>
      <c r="L71" s="22">
        <v>1147</v>
      </c>
      <c r="M71" s="21" t="s">
        <v>496</v>
      </c>
      <c r="N71" s="21" t="s">
        <v>497</v>
      </c>
      <c r="O71" s="22">
        <v>501</v>
      </c>
      <c r="P71" s="22">
        <v>130</v>
      </c>
      <c r="Q71" s="23">
        <v>10.8</v>
      </c>
      <c r="R71" s="24"/>
      <c r="S71" s="21" t="s">
        <v>66</v>
      </c>
      <c r="T71" s="21" t="s">
        <v>501</v>
      </c>
      <c r="U71" s="12"/>
      <c r="V71" s="21"/>
      <c r="W71" s="12"/>
      <c r="X71" s="11"/>
      <c r="Y71" s="25"/>
      <c r="Z71" s="11"/>
    </row>
    <row r="72" spans="1:26" x14ac:dyDescent="0.25">
      <c r="A72" s="8" t="str">
        <f>IF(AND(COUNTBLANK('Bid Sheet'!$R$72:$R$72)=1,COUNTBLANK('Bid Sheet'!$U$72:$U$72)=1,COUNTBLANK('Bid Sheet'!$W$72:$Z$72)=4),"",IF(OR(COUNTBLANK('Bid Sheet'!$R$72:$R$72)&gt;0,COUNTBLANK('Bid Sheet'!$X$72:$X$72)&gt;0, SUM(COUNTBLANK('Bid Sheet'!$D$3:$E$3), COUNTBLANK('Bid Sheet'!$D$4:$E$4), COUNTBLANK('Bid Sheet'!$D$5:$E$5), COUNTBLANK('Bid Sheet'!$D$6:$E$6), COUNTBLANK('Bid Sheet'!$D$7:$E$7))&gt;0), "No", "Yes"))</f>
        <v/>
      </c>
      <c r="B72" s="8"/>
      <c r="C72" s="8" t="s">
        <v>186</v>
      </c>
      <c r="D72" s="8" t="s">
        <v>488</v>
      </c>
      <c r="E72" s="8" t="s">
        <v>489</v>
      </c>
      <c r="F72" s="8" t="s">
        <v>490</v>
      </c>
      <c r="G72" s="8" t="s">
        <v>491</v>
      </c>
      <c r="H72" s="8" t="s">
        <v>492</v>
      </c>
      <c r="I72" s="8" t="s">
        <v>588</v>
      </c>
      <c r="J72" s="8" t="s">
        <v>589</v>
      </c>
      <c r="K72" s="8" t="s">
        <v>579</v>
      </c>
      <c r="L72" s="17">
        <v>1181</v>
      </c>
      <c r="M72" s="8" t="s">
        <v>496</v>
      </c>
      <c r="N72" s="8" t="s">
        <v>497</v>
      </c>
      <c r="O72" s="17">
        <v>511</v>
      </c>
      <c r="P72" s="17">
        <v>38</v>
      </c>
      <c r="Q72" s="18">
        <v>3.2</v>
      </c>
      <c r="R72" s="19"/>
      <c r="S72" s="8" t="s">
        <v>66</v>
      </c>
      <c r="T72" s="8"/>
      <c r="U72" s="10"/>
      <c r="V72" s="8"/>
      <c r="W72" s="10"/>
      <c r="X72" s="9"/>
      <c r="Y72" s="20"/>
      <c r="Z72" s="9"/>
    </row>
    <row r="73" spans="1:26" x14ac:dyDescent="0.25">
      <c r="A73" s="21" t="str">
        <f>IF(AND(COUNTBLANK('Bid Sheet'!$R$73:$R$73)=1,COUNTBLANK('Bid Sheet'!$U$73:$U$73)=1,COUNTBLANK('Bid Sheet'!$W$73:$Z$73)=4),"",IF(OR(COUNTBLANK('Bid Sheet'!$R$73:$R$73)&gt;0,COUNTBLANK('Bid Sheet'!$X$73:$X$73)&gt;0, SUM(COUNTBLANK('Bid Sheet'!$D$3:$E$3), COUNTBLANK('Bid Sheet'!$D$4:$E$4), COUNTBLANK('Bid Sheet'!$D$5:$E$5), COUNTBLANK('Bid Sheet'!$D$6:$E$6), COUNTBLANK('Bid Sheet'!$D$7:$E$7))&gt;0), "No", "Yes"))</f>
        <v/>
      </c>
      <c r="B73" s="21"/>
      <c r="C73" s="21" t="s">
        <v>187</v>
      </c>
      <c r="D73" s="21" t="s">
        <v>488</v>
      </c>
      <c r="E73" s="21" t="s">
        <v>489</v>
      </c>
      <c r="F73" s="21" t="s">
        <v>490</v>
      </c>
      <c r="G73" s="21" t="s">
        <v>491</v>
      </c>
      <c r="H73" s="21" t="s">
        <v>492</v>
      </c>
      <c r="I73" s="21" t="s">
        <v>590</v>
      </c>
      <c r="J73" s="21" t="s">
        <v>589</v>
      </c>
      <c r="K73" s="21" t="s">
        <v>579</v>
      </c>
      <c r="L73" s="22">
        <v>1181</v>
      </c>
      <c r="M73" s="21" t="s">
        <v>496</v>
      </c>
      <c r="N73" s="21" t="s">
        <v>497</v>
      </c>
      <c r="O73" s="22">
        <v>512</v>
      </c>
      <c r="P73" s="22">
        <v>24</v>
      </c>
      <c r="Q73" s="23">
        <v>2</v>
      </c>
      <c r="R73" s="24"/>
      <c r="S73" s="21" t="s">
        <v>66</v>
      </c>
      <c r="T73" s="21"/>
      <c r="U73" s="12"/>
      <c r="V73" s="21"/>
      <c r="W73" s="12"/>
      <c r="X73" s="11"/>
      <c r="Y73" s="25"/>
      <c r="Z73" s="11"/>
    </row>
    <row r="74" spans="1:26" x14ac:dyDescent="0.25">
      <c r="A74" s="8" t="str">
        <f>IF(AND(COUNTBLANK('Bid Sheet'!$R$74:$R$74)=1,COUNTBLANK('Bid Sheet'!$U$74:$U$74)=1,COUNTBLANK('Bid Sheet'!$W$74:$Z$74)=4),"",IF(OR(COUNTBLANK('Bid Sheet'!$R$74:$R$74)&gt;0,COUNTBLANK('Bid Sheet'!$X$74:$X$74)&gt;0, SUM(COUNTBLANK('Bid Sheet'!$D$3:$E$3), COUNTBLANK('Bid Sheet'!$D$4:$E$4), COUNTBLANK('Bid Sheet'!$D$5:$E$5), COUNTBLANK('Bid Sheet'!$D$6:$E$6), COUNTBLANK('Bid Sheet'!$D$7:$E$7))&gt;0), "No", "Yes"))</f>
        <v/>
      </c>
      <c r="B74" s="8"/>
      <c r="C74" s="8" t="s">
        <v>188</v>
      </c>
      <c r="D74" s="8" t="s">
        <v>488</v>
      </c>
      <c r="E74" s="8" t="s">
        <v>489</v>
      </c>
      <c r="F74" s="8" t="s">
        <v>490</v>
      </c>
      <c r="G74" s="8" t="s">
        <v>491</v>
      </c>
      <c r="H74" s="8" t="s">
        <v>492</v>
      </c>
      <c r="I74" s="8" t="s">
        <v>591</v>
      </c>
      <c r="J74" s="8" t="s">
        <v>581</v>
      </c>
      <c r="K74" s="8" t="s">
        <v>579</v>
      </c>
      <c r="L74" s="17">
        <v>1281</v>
      </c>
      <c r="M74" s="8" t="s">
        <v>496</v>
      </c>
      <c r="N74" s="8" t="s">
        <v>497</v>
      </c>
      <c r="O74" s="17">
        <v>559</v>
      </c>
      <c r="P74" s="17">
        <v>20</v>
      </c>
      <c r="Q74" s="18">
        <v>1.7</v>
      </c>
      <c r="R74" s="19"/>
      <c r="S74" s="8" t="s">
        <v>66</v>
      </c>
      <c r="T74" s="8"/>
      <c r="U74" s="10"/>
      <c r="V74" s="8"/>
      <c r="W74" s="10"/>
      <c r="X74" s="9"/>
      <c r="Y74" s="20"/>
      <c r="Z74" s="9"/>
    </row>
    <row r="75" spans="1:26" x14ac:dyDescent="0.25">
      <c r="A75" s="21" t="str">
        <f>IF(AND(COUNTBLANK('Bid Sheet'!$R$75:$R$75)=1,COUNTBLANK('Bid Sheet'!$U$75:$U$75)=1,COUNTBLANK('Bid Sheet'!$W$75:$Z$75)=4),"",IF(OR(COUNTBLANK('Bid Sheet'!$R$75:$R$75)&gt;0,COUNTBLANK('Bid Sheet'!$X$75:$X$75)&gt;0, SUM(COUNTBLANK('Bid Sheet'!$D$3:$E$3), COUNTBLANK('Bid Sheet'!$D$4:$E$4), COUNTBLANK('Bid Sheet'!$D$5:$E$5), COUNTBLANK('Bid Sheet'!$D$6:$E$6), COUNTBLANK('Bid Sheet'!$D$7:$E$7))&gt;0), "No", "Yes"))</f>
        <v/>
      </c>
      <c r="B75" s="21"/>
      <c r="C75" s="21" t="s">
        <v>189</v>
      </c>
      <c r="D75" s="21" t="s">
        <v>488</v>
      </c>
      <c r="E75" s="21" t="s">
        <v>489</v>
      </c>
      <c r="F75" s="21" t="s">
        <v>490</v>
      </c>
      <c r="G75" s="21" t="s">
        <v>491</v>
      </c>
      <c r="H75" s="21" t="s">
        <v>492</v>
      </c>
      <c r="I75" s="21" t="s">
        <v>592</v>
      </c>
      <c r="J75" s="21" t="s">
        <v>581</v>
      </c>
      <c r="K75" s="21" t="s">
        <v>579</v>
      </c>
      <c r="L75" s="22">
        <v>1286</v>
      </c>
      <c r="M75" s="21" t="s">
        <v>496</v>
      </c>
      <c r="N75" s="21" t="s">
        <v>497</v>
      </c>
      <c r="O75" s="22">
        <v>561</v>
      </c>
      <c r="P75" s="22">
        <v>53</v>
      </c>
      <c r="Q75" s="23">
        <v>4.4000000000000004</v>
      </c>
      <c r="R75" s="24"/>
      <c r="S75" s="21" t="s">
        <v>66</v>
      </c>
      <c r="T75" s="21"/>
      <c r="U75" s="12"/>
      <c r="V75" s="21"/>
      <c r="W75" s="12"/>
      <c r="X75" s="11"/>
      <c r="Y75" s="25"/>
      <c r="Z75" s="11"/>
    </row>
    <row r="76" spans="1:26" x14ac:dyDescent="0.25">
      <c r="A76" s="8" t="str">
        <f>IF(AND(COUNTBLANK('Bid Sheet'!$R$76:$R$76)=1,COUNTBLANK('Bid Sheet'!$U$76:$U$76)=1,COUNTBLANK('Bid Sheet'!$W$76:$Z$76)=4),"",IF(OR(COUNTBLANK('Bid Sheet'!$R$76:$R$76)&gt;0,COUNTBLANK('Bid Sheet'!$X$76:$X$76)&gt;0, SUM(COUNTBLANK('Bid Sheet'!$D$3:$E$3), COUNTBLANK('Bid Sheet'!$D$4:$E$4), COUNTBLANK('Bid Sheet'!$D$5:$E$5), COUNTBLANK('Bid Sheet'!$D$6:$E$6), COUNTBLANK('Bid Sheet'!$D$7:$E$7))&gt;0), "No", "Yes"))</f>
        <v/>
      </c>
      <c r="B76" s="8"/>
      <c r="C76" s="8" t="s">
        <v>190</v>
      </c>
      <c r="D76" s="8" t="s">
        <v>488</v>
      </c>
      <c r="E76" s="8" t="s">
        <v>489</v>
      </c>
      <c r="F76" s="8" t="s">
        <v>490</v>
      </c>
      <c r="G76" s="8" t="s">
        <v>491</v>
      </c>
      <c r="H76" s="8" t="s">
        <v>492</v>
      </c>
      <c r="I76" s="8" t="s">
        <v>593</v>
      </c>
      <c r="J76" s="8" t="s">
        <v>594</v>
      </c>
      <c r="K76" s="8" t="s">
        <v>579</v>
      </c>
      <c r="L76" s="17">
        <v>1310</v>
      </c>
      <c r="M76" s="8" t="s">
        <v>496</v>
      </c>
      <c r="N76" s="8" t="s">
        <v>497</v>
      </c>
      <c r="O76" s="17">
        <v>577</v>
      </c>
      <c r="P76" s="17">
        <v>180</v>
      </c>
      <c r="Q76" s="18">
        <v>15</v>
      </c>
      <c r="R76" s="19"/>
      <c r="S76" s="8" t="s">
        <v>66</v>
      </c>
      <c r="T76" s="8" t="s">
        <v>501</v>
      </c>
      <c r="U76" s="10"/>
      <c r="V76" s="8"/>
      <c r="W76" s="10"/>
      <c r="X76" s="9"/>
      <c r="Y76" s="20"/>
      <c r="Z76" s="9"/>
    </row>
    <row r="77" spans="1:26" x14ac:dyDescent="0.25">
      <c r="A77" s="21" t="str">
        <f>IF(AND(COUNTBLANK('Bid Sheet'!$R$77:$R$77)=1,COUNTBLANK('Bid Sheet'!$U$77:$U$77)=1,COUNTBLANK('Bid Sheet'!$W$77:$Z$77)=4),"",IF(OR(COUNTBLANK('Bid Sheet'!$R$77:$R$77)&gt;0,COUNTBLANK('Bid Sheet'!$X$77:$X$77)&gt;0, SUM(COUNTBLANK('Bid Sheet'!$D$3:$E$3), COUNTBLANK('Bid Sheet'!$D$4:$E$4), COUNTBLANK('Bid Sheet'!$D$5:$E$5), COUNTBLANK('Bid Sheet'!$D$6:$E$6), COUNTBLANK('Bid Sheet'!$D$7:$E$7))&gt;0), "No", "Yes"))</f>
        <v/>
      </c>
      <c r="B77" s="21"/>
      <c r="C77" s="21" t="s">
        <v>191</v>
      </c>
      <c r="D77" s="21" t="s">
        <v>488</v>
      </c>
      <c r="E77" s="21" t="s">
        <v>489</v>
      </c>
      <c r="F77" s="21" t="s">
        <v>490</v>
      </c>
      <c r="G77" s="21" t="s">
        <v>491</v>
      </c>
      <c r="H77" s="21" t="s">
        <v>492</v>
      </c>
      <c r="I77" s="21" t="s">
        <v>595</v>
      </c>
      <c r="J77" s="21" t="s">
        <v>596</v>
      </c>
      <c r="K77" s="21" t="s">
        <v>579</v>
      </c>
      <c r="L77" s="22">
        <v>1493</v>
      </c>
      <c r="M77" s="21" t="s">
        <v>496</v>
      </c>
      <c r="N77" s="21" t="s">
        <v>497</v>
      </c>
      <c r="O77" s="22">
        <v>656</v>
      </c>
      <c r="P77" s="22">
        <v>60</v>
      </c>
      <c r="Q77" s="23">
        <v>5</v>
      </c>
      <c r="R77" s="24"/>
      <c r="S77" s="21" t="s">
        <v>66</v>
      </c>
      <c r="T77" s="21"/>
      <c r="U77" s="12"/>
      <c r="V77" s="21"/>
      <c r="W77" s="12"/>
      <c r="X77" s="11"/>
      <c r="Y77" s="25"/>
      <c r="Z77" s="11"/>
    </row>
    <row r="78" spans="1:26" x14ac:dyDescent="0.25">
      <c r="A78" s="8" t="str">
        <f>IF(AND(COUNTBLANK('Bid Sheet'!$R$78:$R$78)=1,COUNTBLANK('Bid Sheet'!$U$78:$U$78)=1,COUNTBLANK('Bid Sheet'!$W$78:$Z$78)=4),"",IF(OR(COUNTBLANK('Bid Sheet'!$R$78:$R$78)&gt;0,COUNTBLANK('Bid Sheet'!$X$78:$X$78)&gt;0, SUM(COUNTBLANK('Bid Sheet'!$D$3:$E$3), COUNTBLANK('Bid Sheet'!$D$4:$E$4), COUNTBLANK('Bid Sheet'!$D$5:$E$5), COUNTBLANK('Bid Sheet'!$D$6:$E$6), COUNTBLANK('Bid Sheet'!$D$7:$E$7))&gt;0), "No", "Yes"))</f>
        <v/>
      </c>
      <c r="B78" s="8"/>
      <c r="C78" s="8" t="s">
        <v>192</v>
      </c>
      <c r="D78" s="8" t="s">
        <v>488</v>
      </c>
      <c r="E78" s="8" t="s">
        <v>489</v>
      </c>
      <c r="F78" s="8" t="s">
        <v>490</v>
      </c>
      <c r="G78" s="8" t="s">
        <v>491</v>
      </c>
      <c r="H78" s="8" t="s">
        <v>492</v>
      </c>
      <c r="I78" s="8" t="s">
        <v>597</v>
      </c>
      <c r="J78" s="8" t="s">
        <v>598</v>
      </c>
      <c r="K78" s="8" t="s">
        <v>579</v>
      </c>
      <c r="L78" s="17">
        <v>1464</v>
      </c>
      <c r="M78" s="8" t="s">
        <v>496</v>
      </c>
      <c r="N78" s="8" t="s">
        <v>497</v>
      </c>
      <c r="O78" s="17">
        <v>645</v>
      </c>
      <c r="P78" s="17">
        <v>50</v>
      </c>
      <c r="Q78" s="18">
        <v>4.2</v>
      </c>
      <c r="R78" s="19"/>
      <c r="S78" s="8" t="s">
        <v>66</v>
      </c>
      <c r="T78" s="8"/>
      <c r="U78" s="10"/>
      <c r="V78" s="8"/>
      <c r="W78" s="10"/>
      <c r="X78" s="9"/>
      <c r="Y78" s="20"/>
      <c r="Z78" s="9"/>
    </row>
    <row r="79" spans="1:26" x14ac:dyDescent="0.25">
      <c r="A79" s="21" t="str">
        <f>IF(AND(COUNTBLANK('Bid Sheet'!$R$79:$R$79)=1,COUNTBLANK('Bid Sheet'!$U$79:$U$79)=1,COUNTBLANK('Bid Sheet'!$W$79:$Z$79)=4),"",IF(OR(COUNTBLANK('Bid Sheet'!$R$79:$R$79)&gt;0,COUNTBLANK('Bid Sheet'!$X$79:$X$79)&gt;0, SUM(COUNTBLANK('Bid Sheet'!$D$3:$E$3), COUNTBLANK('Bid Sheet'!$D$4:$E$4), COUNTBLANK('Bid Sheet'!$D$5:$E$5), COUNTBLANK('Bid Sheet'!$D$6:$E$6), COUNTBLANK('Bid Sheet'!$D$7:$E$7))&gt;0), "No", "Yes"))</f>
        <v/>
      </c>
      <c r="B79" s="21"/>
      <c r="C79" s="21" t="s">
        <v>193</v>
      </c>
      <c r="D79" s="21" t="s">
        <v>488</v>
      </c>
      <c r="E79" s="21" t="s">
        <v>489</v>
      </c>
      <c r="F79" s="21" t="s">
        <v>490</v>
      </c>
      <c r="G79" s="21" t="s">
        <v>491</v>
      </c>
      <c r="H79" s="21" t="s">
        <v>492</v>
      </c>
      <c r="I79" s="21" t="s">
        <v>599</v>
      </c>
      <c r="J79" s="21" t="s">
        <v>600</v>
      </c>
      <c r="K79" s="21" t="s">
        <v>579</v>
      </c>
      <c r="L79" s="22">
        <v>1502</v>
      </c>
      <c r="M79" s="21" t="s">
        <v>496</v>
      </c>
      <c r="N79" s="21" t="s">
        <v>497</v>
      </c>
      <c r="O79" s="22">
        <v>659</v>
      </c>
      <c r="P79" s="22">
        <v>28</v>
      </c>
      <c r="Q79" s="23">
        <v>2.2999999999999998</v>
      </c>
      <c r="R79" s="24"/>
      <c r="S79" s="21" t="s">
        <v>66</v>
      </c>
      <c r="T79" s="21"/>
      <c r="U79" s="12"/>
      <c r="V79" s="21"/>
      <c r="W79" s="12"/>
      <c r="X79" s="11"/>
      <c r="Y79" s="25"/>
      <c r="Z79" s="11"/>
    </row>
    <row r="80" spans="1:26" x14ac:dyDescent="0.25">
      <c r="A80" s="8" t="str">
        <f>IF(AND(COUNTBLANK('Bid Sheet'!$R$80:$R$80)=1,COUNTBLANK('Bid Sheet'!$U$80:$U$80)=1,COUNTBLANK('Bid Sheet'!$W$80:$Z$80)=4),"",IF(OR(COUNTBLANK('Bid Sheet'!$R$80:$R$80)&gt;0,COUNTBLANK('Bid Sheet'!$X$80:$X$80)&gt;0, SUM(COUNTBLANK('Bid Sheet'!$D$3:$E$3), COUNTBLANK('Bid Sheet'!$D$4:$E$4), COUNTBLANK('Bid Sheet'!$D$5:$E$5), COUNTBLANK('Bid Sheet'!$D$6:$E$6), COUNTBLANK('Bid Sheet'!$D$7:$E$7))&gt;0), "No", "Yes"))</f>
        <v/>
      </c>
      <c r="B80" s="8"/>
      <c r="C80" s="8" t="s">
        <v>194</v>
      </c>
      <c r="D80" s="8" t="s">
        <v>488</v>
      </c>
      <c r="E80" s="8" t="s">
        <v>489</v>
      </c>
      <c r="F80" s="8" t="s">
        <v>490</v>
      </c>
      <c r="G80" s="8" t="s">
        <v>491</v>
      </c>
      <c r="H80" s="8" t="s">
        <v>492</v>
      </c>
      <c r="I80" s="8" t="s">
        <v>601</v>
      </c>
      <c r="J80" s="8" t="s">
        <v>600</v>
      </c>
      <c r="K80" s="8" t="s">
        <v>579</v>
      </c>
      <c r="L80" s="17">
        <v>1496</v>
      </c>
      <c r="M80" s="8" t="s">
        <v>496</v>
      </c>
      <c r="N80" s="8" t="s">
        <v>497</v>
      </c>
      <c r="O80" s="17">
        <v>657</v>
      </c>
      <c r="P80" s="17">
        <v>24</v>
      </c>
      <c r="Q80" s="18">
        <v>2</v>
      </c>
      <c r="R80" s="19"/>
      <c r="S80" s="8" t="s">
        <v>66</v>
      </c>
      <c r="T80" s="8"/>
      <c r="U80" s="10"/>
      <c r="V80" s="8"/>
      <c r="W80" s="10"/>
      <c r="X80" s="9"/>
      <c r="Y80" s="20"/>
      <c r="Z80" s="9"/>
    </row>
    <row r="81" spans="1:26" x14ac:dyDescent="0.25">
      <c r="A81" s="21" t="str">
        <f>IF(AND(COUNTBLANK('Bid Sheet'!$R$81:$R$81)=1,COUNTBLANK('Bid Sheet'!$U$81:$U$81)=1,COUNTBLANK('Bid Sheet'!$W$81:$Z$81)=4),"",IF(OR(COUNTBLANK('Bid Sheet'!$R$81:$R$81)&gt;0,COUNTBLANK('Bid Sheet'!$X$81:$X$81)&gt;0, SUM(COUNTBLANK('Bid Sheet'!$D$3:$E$3), COUNTBLANK('Bid Sheet'!$D$4:$E$4), COUNTBLANK('Bid Sheet'!$D$5:$E$5), COUNTBLANK('Bid Sheet'!$D$6:$E$6), COUNTBLANK('Bid Sheet'!$D$7:$E$7))&gt;0), "No", "Yes"))</f>
        <v/>
      </c>
      <c r="B81" s="21"/>
      <c r="C81" s="21" t="s">
        <v>195</v>
      </c>
      <c r="D81" s="21" t="s">
        <v>488</v>
      </c>
      <c r="E81" s="21" t="s">
        <v>489</v>
      </c>
      <c r="F81" s="21" t="s">
        <v>490</v>
      </c>
      <c r="G81" s="21" t="s">
        <v>491</v>
      </c>
      <c r="H81" s="21" t="s">
        <v>492</v>
      </c>
      <c r="I81" s="21" t="s">
        <v>602</v>
      </c>
      <c r="J81" s="21" t="s">
        <v>600</v>
      </c>
      <c r="K81" s="21" t="s">
        <v>579</v>
      </c>
      <c r="L81" s="22">
        <v>1501</v>
      </c>
      <c r="M81" s="21" t="s">
        <v>496</v>
      </c>
      <c r="N81" s="21" t="s">
        <v>497</v>
      </c>
      <c r="O81" s="22">
        <v>659</v>
      </c>
      <c r="P81" s="22">
        <v>6</v>
      </c>
      <c r="Q81" s="23">
        <v>0.5</v>
      </c>
      <c r="R81" s="24"/>
      <c r="S81" s="21" t="s">
        <v>66</v>
      </c>
      <c r="T81" s="21"/>
      <c r="U81" s="12"/>
      <c r="V81" s="21"/>
      <c r="W81" s="12"/>
      <c r="X81" s="11"/>
      <c r="Y81" s="25"/>
      <c r="Z81" s="11"/>
    </row>
    <row r="82" spans="1:26" x14ac:dyDescent="0.25">
      <c r="A82" s="8" t="str">
        <f>IF(AND(COUNTBLANK('Bid Sheet'!$R$82:$R$82)=1,COUNTBLANK('Bid Sheet'!$U$82:$U$82)=1,COUNTBLANK('Bid Sheet'!$W$82:$Z$82)=4),"",IF(OR(COUNTBLANK('Bid Sheet'!$R$82:$R$82)&gt;0,COUNTBLANK('Bid Sheet'!$X$82:$X$82)&gt;0, SUM(COUNTBLANK('Bid Sheet'!$D$3:$E$3), COUNTBLANK('Bid Sheet'!$D$4:$E$4), COUNTBLANK('Bid Sheet'!$D$5:$E$5), COUNTBLANK('Bid Sheet'!$D$6:$E$6), COUNTBLANK('Bid Sheet'!$D$7:$E$7))&gt;0), "No", "Yes"))</f>
        <v/>
      </c>
      <c r="B82" s="8"/>
      <c r="C82" s="8" t="s">
        <v>196</v>
      </c>
      <c r="D82" s="8" t="s">
        <v>488</v>
      </c>
      <c r="E82" s="8" t="s">
        <v>489</v>
      </c>
      <c r="F82" s="8" t="s">
        <v>490</v>
      </c>
      <c r="G82" s="8" t="s">
        <v>491</v>
      </c>
      <c r="H82" s="8" t="s">
        <v>492</v>
      </c>
      <c r="I82" s="8" t="s">
        <v>603</v>
      </c>
      <c r="J82" s="8" t="s">
        <v>600</v>
      </c>
      <c r="K82" s="8" t="s">
        <v>579</v>
      </c>
      <c r="L82" s="17">
        <v>1491</v>
      </c>
      <c r="M82" s="8" t="s">
        <v>496</v>
      </c>
      <c r="N82" s="8" t="s">
        <v>497</v>
      </c>
      <c r="O82" s="17">
        <v>659</v>
      </c>
      <c r="P82" s="17">
        <v>30</v>
      </c>
      <c r="Q82" s="18">
        <v>2.5</v>
      </c>
      <c r="R82" s="19"/>
      <c r="S82" s="8" t="s">
        <v>66</v>
      </c>
      <c r="T82" s="8"/>
      <c r="U82" s="10"/>
      <c r="V82" s="8"/>
      <c r="W82" s="10"/>
      <c r="X82" s="9"/>
      <c r="Y82" s="20"/>
      <c r="Z82" s="9"/>
    </row>
    <row r="83" spans="1:26" x14ac:dyDescent="0.25">
      <c r="A83" s="21" t="str">
        <f>IF(AND(COUNTBLANK('Bid Sheet'!$R$83:$R$83)=1,COUNTBLANK('Bid Sheet'!$U$83:$U$83)=1,COUNTBLANK('Bid Sheet'!$W$83:$Z$83)=4),"",IF(OR(COUNTBLANK('Bid Sheet'!$R$83:$R$83)&gt;0,COUNTBLANK('Bid Sheet'!$X$83:$X$83)&gt;0, SUM(COUNTBLANK('Bid Sheet'!$D$3:$E$3), COUNTBLANK('Bid Sheet'!$D$4:$E$4), COUNTBLANK('Bid Sheet'!$D$5:$E$5), COUNTBLANK('Bid Sheet'!$D$6:$E$6), COUNTBLANK('Bid Sheet'!$D$7:$E$7))&gt;0), "No", "Yes"))</f>
        <v/>
      </c>
      <c r="B83" s="21"/>
      <c r="C83" s="21" t="s">
        <v>197</v>
      </c>
      <c r="D83" s="21" t="s">
        <v>488</v>
      </c>
      <c r="E83" s="21" t="s">
        <v>489</v>
      </c>
      <c r="F83" s="21" t="s">
        <v>490</v>
      </c>
      <c r="G83" s="21" t="s">
        <v>491</v>
      </c>
      <c r="H83" s="21" t="s">
        <v>492</v>
      </c>
      <c r="I83" s="21" t="s">
        <v>604</v>
      </c>
      <c r="J83" s="21" t="s">
        <v>600</v>
      </c>
      <c r="K83" s="21" t="s">
        <v>579</v>
      </c>
      <c r="L83" s="22">
        <v>1506</v>
      </c>
      <c r="M83" s="21" t="s">
        <v>496</v>
      </c>
      <c r="N83" s="21" t="s">
        <v>497</v>
      </c>
      <c r="O83" s="22">
        <v>655</v>
      </c>
      <c r="P83" s="22">
        <v>40</v>
      </c>
      <c r="Q83" s="23">
        <v>3.3</v>
      </c>
      <c r="R83" s="24"/>
      <c r="S83" s="21" t="s">
        <v>66</v>
      </c>
      <c r="T83" s="21"/>
      <c r="U83" s="12"/>
      <c r="V83" s="21"/>
      <c r="W83" s="12"/>
      <c r="X83" s="11"/>
      <c r="Y83" s="25"/>
      <c r="Z83" s="11"/>
    </row>
    <row r="84" spans="1:26" x14ac:dyDescent="0.25">
      <c r="A84" s="8" t="str">
        <f>IF(AND(COUNTBLANK('Bid Sheet'!$R$84:$R$84)=1,COUNTBLANK('Bid Sheet'!$U$84:$U$84)=1,COUNTBLANK('Bid Sheet'!$W$84:$Z$84)=4),"",IF(OR(COUNTBLANK('Bid Sheet'!$R$84:$R$84)&gt;0,COUNTBLANK('Bid Sheet'!$X$84:$X$84)&gt;0, SUM(COUNTBLANK('Bid Sheet'!$D$3:$E$3), COUNTBLANK('Bid Sheet'!$D$4:$E$4), COUNTBLANK('Bid Sheet'!$D$5:$E$5), COUNTBLANK('Bid Sheet'!$D$6:$E$6), COUNTBLANK('Bid Sheet'!$D$7:$E$7))&gt;0), "No", "Yes"))</f>
        <v/>
      </c>
      <c r="B84" s="8"/>
      <c r="C84" s="8" t="s">
        <v>198</v>
      </c>
      <c r="D84" s="8" t="s">
        <v>488</v>
      </c>
      <c r="E84" s="8" t="s">
        <v>489</v>
      </c>
      <c r="F84" s="8" t="s">
        <v>490</v>
      </c>
      <c r="G84" s="8" t="s">
        <v>491</v>
      </c>
      <c r="H84" s="8" t="s">
        <v>492</v>
      </c>
      <c r="I84" s="8" t="s">
        <v>605</v>
      </c>
      <c r="J84" s="8" t="s">
        <v>600</v>
      </c>
      <c r="K84" s="8" t="s">
        <v>579</v>
      </c>
      <c r="L84" s="17">
        <v>1489</v>
      </c>
      <c r="M84" s="8" t="s">
        <v>496</v>
      </c>
      <c r="N84" s="8" t="s">
        <v>497</v>
      </c>
      <c r="O84" s="17">
        <v>659</v>
      </c>
      <c r="P84" s="17">
        <v>6</v>
      </c>
      <c r="Q84" s="18">
        <v>0.5</v>
      </c>
      <c r="R84" s="19"/>
      <c r="S84" s="8" t="s">
        <v>66</v>
      </c>
      <c r="T84" s="8"/>
      <c r="U84" s="10"/>
      <c r="V84" s="8"/>
      <c r="W84" s="10"/>
      <c r="X84" s="9"/>
      <c r="Y84" s="20"/>
      <c r="Z84" s="9"/>
    </row>
    <row r="85" spans="1:26" x14ac:dyDescent="0.25">
      <c r="A85" s="21" t="str">
        <f>IF(AND(COUNTBLANK('Bid Sheet'!$R$85:$R$85)=1,COUNTBLANK('Bid Sheet'!$U$85:$U$85)=1,COUNTBLANK('Bid Sheet'!$W$85:$Z$85)=4),"",IF(OR(COUNTBLANK('Bid Sheet'!$R$85:$R$85)&gt;0,COUNTBLANK('Bid Sheet'!$X$85:$X$85)&gt;0, SUM(COUNTBLANK('Bid Sheet'!$D$3:$E$3), COUNTBLANK('Bid Sheet'!$D$4:$E$4), COUNTBLANK('Bid Sheet'!$D$5:$E$5), COUNTBLANK('Bid Sheet'!$D$6:$E$6), COUNTBLANK('Bid Sheet'!$D$7:$E$7))&gt;0), "No", "Yes"))</f>
        <v/>
      </c>
      <c r="B85" s="21"/>
      <c r="C85" s="21" t="s">
        <v>199</v>
      </c>
      <c r="D85" s="21" t="s">
        <v>488</v>
      </c>
      <c r="E85" s="21" t="s">
        <v>489</v>
      </c>
      <c r="F85" s="21" t="s">
        <v>490</v>
      </c>
      <c r="G85" s="21" t="s">
        <v>491</v>
      </c>
      <c r="H85" s="21" t="s">
        <v>492</v>
      </c>
      <c r="I85" s="21" t="s">
        <v>606</v>
      </c>
      <c r="J85" s="21" t="s">
        <v>607</v>
      </c>
      <c r="K85" s="21" t="s">
        <v>579</v>
      </c>
      <c r="L85" s="22">
        <v>1428</v>
      </c>
      <c r="M85" s="21" t="s">
        <v>496</v>
      </c>
      <c r="N85" s="21" t="s">
        <v>497</v>
      </c>
      <c r="O85" s="22">
        <v>630</v>
      </c>
      <c r="P85" s="22">
        <v>16</v>
      </c>
      <c r="Q85" s="23">
        <v>1.3</v>
      </c>
      <c r="R85" s="24"/>
      <c r="S85" s="21" t="s">
        <v>66</v>
      </c>
      <c r="T85" s="21"/>
      <c r="U85" s="12"/>
      <c r="V85" s="21"/>
      <c r="W85" s="12"/>
      <c r="X85" s="11"/>
      <c r="Y85" s="25"/>
      <c r="Z85" s="11"/>
    </row>
    <row r="86" spans="1:26" x14ac:dyDescent="0.25">
      <c r="A86" s="8" t="str">
        <f>IF(AND(COUNTBLANK('Bid Sheet'!$R$86:$R$86)=1,COUNTBLANK('Bid Sheet'!$U$86:$U$86)=1,COUNTBLANK('Bid Sheet'!$W$86:$Z$86)=4),"",IF(OR(COUNTBLANK('Bid Sheet'!$R$86:$R$86)&gt;0,COUNTBLANK('Bid Sheet'!$X$86:$X$86)&gt;0, SUM(COUNTBLANK('Bid Sheet'!$D$3:$E$3), COUNTBLANK('Bid Sheet'!$D$4:$E$4), COUNTBLANK('Bid Sheet'!$D$5:$E$5), COUNTBLANK('Bid Sheet'!$D$6:$E$6), COUNTBLANK('Bid Sheet'!$D$7:$E$7))&gt;0), "No", "Yes"))</f>
        <v/>
      </c>
      <c r="B86" s="8"/>
      <c r="C86" s="8" t="s">
        <v>200</v>
      </c>
      <c r="D86" s="8" t="s">
        <v>488</v>
      </c>
      <c r="E86" s="8" t="s">
        <v>489</v>
      </c>
      <c r="F86" s="8" t="s">
        <v>490</v>
      </c>
      <c r="G86" s="8" t="s">
        <v>491</v>
      </c>
      <c r="H86" s="8" t="s">
        <v>492</v>
      </c>
      <c r="I86" s="8" t="s">
        <v>608</v>
      </c>
      <c r="J86" s="8" t="s">
        <v>607</v>
      </c>
      <c r="K86" s="8" t="s">
        <v>579</v>
      </c>
      <c r="L86" s="17">
        <v>1434</v>
      </c>
      <c r="M86" s="8" t="s">
        <v>496</v>
      </c>
      <c r="N86" s="8" t="s">
        <v>497</v>
      </c>
      <c r="O86" s="17">
        <v>630</v>
      </c>
      <c r="P86" s="17">
        <v>24</v>
      </c>
      <c r="Q86" s="18">
        <v>2</v>
      </c>
      <c r="R86" s="19"/>
      <c r="S86" s="8" t="s">
        <v>66</v>
      </c>
      <c r="T86" s="8"/>
      <c r="U86" s="10"/>
      <c r="V86" s="8"/>
      <c r="W86" s="10"/>
      <c r="X86" s="9"/>
      <c r="Y86" s="20"/>
      <c r="Z86" s="9"/>
    </row>
    <row r="87" spans="1:26" x14ac:dyDescent="0.25">
      <c r="A87" s="21" t="str">
        <f>IF(AND(COUNTBLANK('Bid Sheet'!$R$87:$R$87)=1,COUNTBLANK('Bid Sheet'!$U$87:$U$87)=1,COUNTBLANK('Bid Sheet'!$W$87:$Z$87)=4),"",IF(OR(COUNTBLANK('Bid Sheet'!$R$87:$R$87)&gt;0,COUNTBLANK('Bid Sheet'!$X$87:$X$87)&gt;0, SUM(COUNTBLANK('Bid Sheet'!$D$3:$E$3), COUNTBLANK('Bid Sheet'!$D$4:$E$4), COUNTBLANK('Bid Sheet'!$D$5:$E$5), COUNTBLANK('Bid Sheet'!$D$6:$E$6), COUNTBLANK('Bid Sheet'!$D$7:$E$7))&gt;0), "No", "Yes"))</f>
        <v/>
      </c>
      <c r="B87" s="21"/>
      <c r="C87" s="21" t="s">
        <v>201</v>
      </c>
      <c r="D87" s="21" t="s">
        <v>488</v>
      </c>
      <c r="E87" s="21" t="s">
        <v>489</v>
      </c>
      <c r="F87" s="21" t="s">
        <v>490</v>
      </c>
      <c r="G87" s="21" t="s">
        <v>491</v>
      </c>
      <c r="H87" s="21" t="s">
        <v>492</v>
      </c>
      <c r="I87" s="21" t="s">
        <v>609</v>
      </c>
      <c r="J87" s="21" t="s">
        <v>610</v>
      </c>
      <c r="K87" s="21" t="s">
        <v>579</v>
      </c>
      <c r="L87" s="22">
        <v>1461</v>
      </c>
      <c r="M87" s="21" t="s">
        <v>496</v>
      </c>
      <c r="N87" s="21" t="s">
        <v>497</v>
      </c>
      <c r="O87" s="22">
        <v>643</v>
      </c>
      <c r="P87" s="22">
        <v>76</v>
      </c>
      <c r="Q87" s="23">
        <v>6.3</v>
      </c>
      <c r="R87" s="24"/>
      <c r="S87" s="21" t="s">
        <v>66</v>
      </c>
      <c r="T87" s="21"/>
      <c r="U87" s="12"/>
      <c r="V87" s="21"/>
      <c r="W87" s="12"/>
      <c r="X87" s="11"/>
      <c r="Y87" s="25"/>
      <c r="Z87" s="11"/>
    </row>
    <row r="88" spans="1:26" x14ac:dyDescent="0.25">
      <c r="A88" s="8" t="str">
        <f>IF(AND(COUNTBLANK('Bid Sheet'!$R$88:$R$88)=1,COUNTBLANK('Bid Sheet'!$U$88:$U$88)=1,COUNTBLANK('Bid Sheet'!$W$88:$Z$88)=4),"",IF(OR(COUNTBLANK('Bid Sheet'!$R$88:$R$88)&gt;0,COUNTBLANK('Bid Sheet'!$X$88:$X$88)&gt;0, SUM(COUNTBLANK('Bid Sheet'!$D$3:$E$3), COUNTBLANK('Bid Sheet'!$D$4:$E$4), COUNTBLANK('Bid Sheet'!$D$5:$E$5), COUNTBLANK('Bid Sheet'!$D$6:$E$6), COUNTBLANK('Bid Sheet'!$D$7:$E$7))&gt;0), "No", "Yes"))</f>
        <v/>
      </c>
      <c r="B88" s="8"/>
      <c r="C88" s="8" t="s">
        <v>202</v>
      </c>
      <c r="D88" s="8" t="s">
        <v>488</v>
      </c>
      <c r="E88" s="8" t="s">
        <v>489</v>
      </c>
      <c r="F88" s="8" t="s">
        <v>490</v>
      </c>
      <c r="G88" s="8" t="s">
        <v>491</v>
      </c>
      <c r="H88" s="8" t="s">
        <v>492</v>
      </c>
      <c r="I88" s="8" t="s">
        <v>611</v>
      </c>
      <c r="J88" s="8" t="s">
        <v>612</v>
      </c>
      <c r="K88" s="8" t="s">
        <v>579</v>
      </c>
      <c r="L88" s="17">
        <v>1307</v>
      </c>
      <c r="M88" s="8" t="s">
        <v>496</v>
      </c>
      <c r="N88" s="8" t="s">
        <v>497</v>
      </c>
      <c r="O88" s="17">
        <v>563</v>
      </c>
      <c r="P88" s="17">
        <v>32</v>
      </c>
      <c r="Q88" s="18">
        <v>2.7</v>
      </c>
      <c r="R88" s="19"/>
      <c r="S88" s="8" t="s">
        <v>66</v>
      </c>
      <c r="T88" s="8"/>
      <c r="U88" s="10"/>
      <c r="V88" s="8"/>
      <c r="W88" s="10"/>
      <c r="X88" s="9"/>
      <c r="Y88" s="20"/>
      <c r="Z88" s="9"/>
    </row>
    <row r="89" spans="1:26" x14ac:dyDescent="0.25">
      <c r="A89" s="21" t="str">
        <f>IF(AND(COUNTBLANK('Bid Sheet'!$R$89:$R$89)=1,COUNTBLANK('Bid Sheet'!$U$89:$U$89)=1,COUNTBLANK('Bid Sheet'!$W$89:$Z$89)=4),"",IF(OR(COUNTBLANK('Bid Sheet'!$R$89:$R$89)&gt;0,COUNTBLANK('Bid Sheet'!$X$89:$X$89)&gt;0, SUM(COUNTBLANK('Bid Sheet'!$D$3:$E$3), COUNTBLANK('Bid Sheet'!$D$4:$E$4), COUNTBLANK('Bid Sheet'!$D$5:$E$5), COUNTBLANK('Bid Sheet'!$D$6:$E$6), COUNTBLANK('Bid Sheet'!$D$7:$E$7))&gt;0), "No", "Yes"))</f>
        <v/>
      </c>
      <c r="B89" s="21"/>
      <c r="C89" s="21" t="s">
        <v>203</v>
      </c>
      <c r="D89" s="21" t="s">
        <v>488</v>
      </c>
      <c r="E89" s="21" t="s">
        <v>489</v>
      </c>
      <c r="F89" s="21" t="s">
        <v>490</v>
      </c>
      <c r="G89" s="21" t="s">
        <v>491</v>
      </c>
      <c r="H89" s="21" t="s">
        <v>492</v>
      </c>
      <c r="I89" s="21" t="s">
        <v>613</v>
      </c>
      <c r="J89" s="21" t="s">
        <v>614</v>
      </c>
      <c r="K89" s="21" t="s">
        <v>579</v>
      </c>
      <c r="L89" s="22">
        <v>1284</v>
      </c>
      <c r="M89" s="21" t="s">
        <v>496</v>
      </c>
      <c r="N89" s="21" t="s">
        <v>497</v>
      </c>
      <c r="O89" s="22">
        <v>562</v>
      </c>
      <c r="P89" s="22">
        <v>76</v>
      </c>
      <c r="Q89" s="23">
        <v>6.3</v>
      </c>
      <c r="R89" s="24"/>
      <c r="S89" s="21" t="s">
        <v>66</v>
      </c>
      <c r="T89" s="21"/>
      <c r="U89" s="12"/>
      <c r="V89" s="21"/>
      <c r="W89" s="12"/>
      <c r="X89" s="11"/>
      <c r="Y89" s="25"/>
      <c r="Z89" s="11"/>
    </row>
    <row r="90" spans="1:26" x14ac:dyDescent="0.25">
      <c r="A90" s="8" t="str">
        <f>IF(AND(COUNTBLANK('Bid Sheet'!$R$90:$R$90)=1,COUNTBLANK('Bid Sheet'!$U$90:$U$90)=1,COUNTBLANK('Bid Sheet'!$W$90:$Z$90)=4),"",IF(OR(COUNTBLANK('Bid Sheet'!$R$90:$R$90)&gt;0,COUNTBLANK('Bid Sheet'!$X$90:$X$90)&gt;0, SUM(COUNTBLANK('Bid Sheet'!$D$3:$E$3), COUNTBLANK('Bid Sheet'!$D$4:$E$4), COUNTBLANK('Bid Sheet'!$D$5:$E$5), COUNTBLANK('Bid Sheet'!$D$6:$E$6), COUNTBLANK('Bid Sheet'!$D$7:$E$7))&gt;0), "No", "Yes"))</f>
        <v/>
      </c>
      <c r="B90" s="8"/>
      <c r="C90" s="8" t="s">
        <v>204</v>
      </c>
      <c r="D90" s="8" t="s">
        <v>488</v>
      </c>
      <c r="E90" s="8" t="s">
        <v>489</v>
      </c>
      <c r="F90" s="8" t="s">
        <v>490</v>
      </c>
      <c r="G90" s="8" t="s">
        <v>491</v>
      </c>
      <c r="H90" s="8" t="s">
        <v>492</v>
      </c>
      <c r="I90" s="8" t="s">
        <v>615</v>
      </c>
      <c r="J90" s="8" t="s">
        <v>616</v>
      </c>
      <c r="K90" s="8" t="s">
        <v>579</v>
      </c>
      <c r="L90" s="17">
        <v>1298</v>
      </c>
      <c r="M90" s="8" t="s">
        <v>496</v>
      </c>
      <c r="N90" s="8" t="s">
        <v>497</v>
      </c>
      <c r="O90" s="17">
        <v>563</v>
      </c>
      <c r="P90" s="17">
        <v>36</v>
      </c>
      <c r="Q90" s="18">
        <v>3</v>
      </c>
      <c r="R90" s="19"/>
      <c r="S90" s="8" t="s">
        <v>66</v>
      </c>
      <c r="T90" s="8"/>
      <c r="U90" s="10"/>
      <c r="V90" s="8"/>
      <c r="W90" s="10"/>
      <c r="X90" s="9"/>
      <c r="Y90" s="20"/>
      <c r="Z90" s="9"/>
    </row>
    <row r="91" spans="1:26" x14ac:dyDescent="0.25">
      <c r="A91" s="21" t="str">
        <f>IF(AND(COUNTBLANK('Bid Sheet'!$R$91:$R$91)=1,COUNTBLANK('Bid Sheet'!$U$91:$U$91)=1,COUNTBLANK('Bid Sheet'!$W$91:$Z$91)=4),"",IF(OR(COUNTBLANK('Bid Sheet'!$R$91:$R$91)&gt;0,COUNTBLANK('Bid Sheet'!$X$91:$X$91)&gt;0, SUM(COUNTBLANK('Bid Sheet'!$D$3:$E$3), COUNTBLANK('Bid Sheet'!$D$4:$E$4), COUNTBLANK('Bid Sheet'!$D$5:$E$5), COUNTBLANK('Bid Sheet'!$D$6:$E$6), COUNTBLANK('Bid Sheet'!$D$7:$E$7))&gt;0), "No", "Yes"))</f>
        <v/>
      </c>
      <c r="B91" s="21"/>
      <c r="C91" s="21" t="s">
        <v>205</v>
      </c>
      <c r="D91" s="21" t="s">
        <v>488</v>
      </c>
      <c r="E91" s="21" t="s">
        <v>489</v>
      </c>
      <c r="F91" s="21" t="s">
        <v>490</v>
      </c>
      <c r="G91" s="21" t="s">
        <v>491</v>
      </c>
      <c r="H91" s="21" t="s">
        <v>492</v>
      </c>
      <c r="I91" s="21" t="s">
        <v>582</v>
      </c>
      <c r="J91" s="21" t="s">
        <v>583</v>
      </c>
      <c r="K91" s="21" t="s">
        <v>579</v>
      </c>
      <c r="L91" s="22">
        <v>1304</v>
      </c>
      <c r="M91" s="21" t="s">
        <v>496</v>
      </c>
      <c r="N91" s="21" t="s">
        <v>497</v>
      </c>
      <c r="O91" s="22">
        <v>566</v>
      </c>
      <c r="P91" s="22">
        <v>142</v>
      </c>
      <c r="Q91" s="23">
        <v>11.8</v>
      </c>
      <c r="R91" s="24"/>
      <c r="S91" s="21" t="s">
        <v>66</v>
      </c>
      <c r="T91" s="21" t="s">
        <v>501</v>
      </c>
      <c r="U91" s="12"/>
      <c r="V91" s="21"/>
      <c r="W91" s="12"/>
      <c r="X91" s="11"/>
      <c r="Y91" s="25"/>
      <c r="Z91" s="11"/>
    </row>
    <row r="92" spans="1:26" x14ac:dyDescent="0.25">
      <c r="A92" s="8" t="str">
        <f>IF(AND(COUNTBLANK('Bid Sheet'!$R$92:$R$92)=1,COUNTBLANK('Bid Sheet'!$U$92:$U$92)=1,COUNTBLANK('Bid Sheet'!$W$92:$Z$92)=4),"",IF(OR(COUNTBLANK('Bid Sheet'!$R$92:$R$92)&gt;0,COUNTBLANK('Bid Sheet'!$X$92:$X$92)&gt;0, SUM(COUNTBLANK('Bid Sheet'!$D$3:$E$3), COUNTBLANK('Bid Sheet'!$D$4:$E$4), COUNTBLANK('Bid Sheet'!$D$5:$E$5), COUNTBLANK('Bid Sheet'!$D$6:$E$6), COUNTBLANK('Bid Sheet'!$D$7:$E$7))&gt;0), "No", "Yes"))</f>
        <v/>
      </c>
      <c r="B92" s="8"/>
      <c r="C92" s="8" t="s">
        <v>206</v>
      </c>
      <c r="D92" s="8" t="s">
        <v>488</v>
      </c>
      <c r="E92" s="8" t="s">
        <v>489</v>
      </c>
      <c r="F92" s="8" t="s">
        <v>490</v>
      </c>
      <c r="G92" s="8" t="s">
        <v>491</v>
      </c>
      <c r="H92" s="8" t="s">
        <v>492</v>
      </c>
      <c r="I92" s="8" t="s">
        <v>617</v>
      </c>
      <c r="J92" s="8" t="s">
        <v>618</v>
      </c>
      <c r="K92" s="8" t="s">
        <v>579</v>
      </c>
      <c r="L92" s="17">
        <v>1385</v>
      </c>
      <c r="M92" s="8" t="s">
        <v>496</v>
      </c>
      <c r="N92" s="8" t="s">
        <v>497</v>
      </c>
      <c r="O92" s="17">
        <v>590</v>
      </c>
      <c r="P92" s="17">
        <v>120</v>
      </c>
      <c r="Q92" s="18">
        <v>10</v>
      </c>
      <c r="R92" s="19"/>
      <c r="S92" s="8" t="s">
        <v>66</v>
      </c>
      <c r="T92" s="8" t="s">
        <v>501</v>
      </c>
      <c r="U92" s="10"/>
      <c r="V92" s="8"/>
      <c r="W92" s="10"/>
      <c r="X92" s="9"/>
      <c r="Y92" s="20"/>
      <c r="Z92" s="9"/>
    </row>
    <row r="93" spans="1:26" x14ac:dyDescent="0.25">
      <c r="A93" s="21" t="str">
        <f>IF(AND(COUNTBLANK('Bid Sheet'!$R$93:$R$93)=1,COUNTBLANK('Bid Sheet'!$U$93:$U$93)=1,COUNTBLANK('Bid Sheet'!$W$93:$Z$93)=4),"",IF(OR(COUNTBLANK('Bid Sheet'!$R$93:$R$93)&gt;0,COUNTBLANK('Bid Sheet'!$X$93:$X$93)&gt;0, SUM(COUNTBLANK('Bid Sheet'!$D$3:$E$3), COUNTBLANK('Bid Sheet'!$D$4:$E$4), COUNTBLANK('Bid Sheet'!$D$5:$E$5), COUNTBLANK('Bid Sheet'!$D$6:$E$6), COUNTBLANK('Bid Sheet'!$D$7:$E$7))&gt;0), "No", "Yes"))</f>
        <v/>
      </c>
      <c r="B93" s="21"/>
      <c r="C93" s="21" t="s">
        <v>207</v>
      </c>
      <c r="D93" s="21" t="s">
        <v>488</v>
      </c>
      <c r="E93" s="21" t="s">
        <v>489</v>
      </c>
      <c r="F93" s="21" t="s">
        <v>502</v>
      </c>
      <c r="G93" s="21" t="s">
        <v>503</v>
      </c>
      <c r="H93" s="21" t="s">
        <v>504</v>
      </c>
      <c r="I93" s="21" t="s">
        <v>619</v>
      </c>
      <c r="J93" s="21" t="s">
        <v>620</v>
      </c>
      <c r="K93" s="21" t="s">
        <v>621</v>
      </c>
      <c r="L93" s="22">
        <v>737</v>
      </c>
      <c r="M93" s="21" t="s">
        <v>496</v>
      </c>
      <c r="N93" s="21" t="s">
        <v>497</v>
      </c>
      <c r="O93" s="22">
        <v>358</v>
      </c>
      <c r="P93" s="22">
        <v>40</v>
      </c>
      <c r="Q93" s="23">
        <v>3.3</v>
      </c>
      <c r="R93" s="24"/>
      <c r="S93" s="21" t="s">
        <v>66</v>
      </c>
      <c r="T93" s="21"/>
      <c r="U93" s="12"/>
      <c r="V93" s="21"/>
      <c r="W93" s="12"/>
      <c r="X93" s="11"/>
      <c r="Y93" s="25"/>
      <c r="Z93" s="11"/>
    </row>
    <row r="94" spans="1:26" x14ac:dyDescent="0.25">
      <c r="A94" s="8" t="str">
        <f>IF(AND(COUNTBLANK('Bid Sheet'!$R$94:$R$94)=1,COUNTBLANK('Bid Sheet'!$U$94:$U$94)=1,COUNTBLANK('Bid Sheet'!$W$94:$Z$94)=4),"",IF(OR(COUNTBLANK('Bid Sheet'!$R$94:$R$94)&gt;0,COUNTBLANK('Bid Sheet'!$X$94:$X$94)&gt;0, SUM(COUNTBLANK('Bid Sheet'!$D$3:$E$3), COUNTBLANK('Bid Sheet'!$D$4:$E$4), COUNTBLANK('Bid Sheet'!$D$5:$E$5), COUNTBLANK('Bid Sheet'!$D$6:$E$6), COUNTBLANK('Bid Sheet'!$D$7:$E$7))&gt;0), "No", "Yes"))</f>
        <v/>
      </c>
      <c r="B94" s="8"/>
      <c r="C94" s="8" t="s">
        <v>208</v>
      </c>
      <c r="D94" s="8" t="s">
        <v>488</v>
      </c>
      <c r="E94" s="8" t="s">
        <v>489</v>
      </c>
      <c r="F94" s="8" t="s">
        <v>490</v>
      </c>
      <c r="G94" s="8" t="s">
        <v>491</v>
      </c>
      <c r="H94" s="8" t="s">
        <v>492</v>
      </c>
      <c r="I94" s="8" t="s">
        <v>619</v>
      </c>
      <c r="J94" s="8" t="s">
        <v>620</v>
      </c>
      <c r="K94" s="8" t="s">
        <v>621</v>
      </c>
      <c r="L94" s="17">
        <v>875</v>
      </c>
      <c r="M94" s="8" t="s">
        <v>496</v>
      </c>
      <c r="N94" s="8" t="s">
        <v>497</v>
      </c>
      <c r="O94" s="17">
        <v>389</v>
      </c>
      <c r="P94" s="17">
        <v>16</v>
      </c>
      <c r="Q94" s="18">
        <v>1.3</v>
      </c>
      <c r="R94" s="19"/>
      <c r="S94" s="8" t="s">
        <v>66</v>
      </c>
      <c r="T94" s="8"/>
      <c r="U94" s="10"/>
      <c r="V94" s="8"/>
      <c r="W94" s="10"/>
      <c r="X94" s="9"/>
      <c r="Y94" s="20"/>
      <c r="Z94" s="9"/>
    </row>
    <row r="95" spans="1:26" x14ac:dyDescent="0.25">
      <c r="A95" s="21" t="str">
        <f>IF(AND(COUNTBLANK('Bid Sheet'!$R$95:$R$95)=1,COUNTBLANK('Bid Sheet'!$U$95:$U$95)=1,COUNTBLANK('Bid Sheet'!$W$95:$Z$95)=4),"",IF(OR(COUNTBLANK('Bid Sheet'!$R$95:$R$95)&gt;0,COUNTBLANK('Bid Sheet'!$X$95:$X$95)&gt;0, SUM(COUNTBLANK('Bid Sheet'!$D$3:$E$3), COUNTBLANK('Bid Sheet'!$D$4:$E$4), COUNTBLANK('Bid Sheet'!$D$5:$E$5), COUNTBLANK('Bid Sheet'!$D$6:$E$6), COUNTBLANK('Bid Sheet'!$D$7:$E$7))&gt;0), "No", "Yes"))</f>
        <v/>
      </c>
      <c r="B95" s="21"/>
      <c r="C95" s="21" t="s">
        <v>209</v>
      </c>
      <c r="D95" s="21" t="s">
        <v>488</v>
      </c>
      <c r="E95" s="21" t="s">
        <v>489</v>
      </c>
      <c r="F95" s="21" t="s">
        <v>502</v>
      </c>
      <c r="G95" s="21" t="s">
        <v>503</v>
      </c>
      <c r="H95" s="21" t="s">
        <v>504</v>
      </c>
      <c r="I95" s="21" t="s">
        <v>622</v>
      </c>
      <c r="J95" s="21" t="s">
        <v>623</v>
      </c>
      <c r="K95" s="21" t="s">
        <v>621</v>
      </c>
      <c r="L95" s="22">
        <v>795</v>
      </c>
      <c r="M95" s="21" t="s">
        <v>496</v>
      </c>
      <c r="N95" s="21" t="s">
        <v>497</v>
      </c>
      <c r="O95" s="22">
        <v>382</v>
      </c>
      <c r="P95" s="22">
        <v>26</v>
      </c>
      <c r="Q95" s="23">
        <v>2.2000000000000002</v>
      </c>
      <c r="R95" s="24"/>
      <c r="S95" s="21" t="s">
        <v>66</v>
      </c>
      <c r="T95" s="21"/>
      <c r="U95" s="12"/>
      <c r="V95" s="21"/>
      <c r="W95" s="12"/>
      <c r="X95" s="11"/>
      <c r="Y95" s="25"/>
      <c r="Z95" s="11"/>
    </row>
    <row r="96" spans="1:26" x14ac:dyDescent="0.25">
      <c r="A96" s="8" t="str">
        <f>IF(AND(COUNTBLANK('Bid Sheet'!$R$96:$R$96)=1,COUNTBLANK('Bid Sheet'!$U$96:$U$96)=1,COUNTBLANK('Bid Sheet'!$W$96:$Z$96)=4),"",IF(OR(COUNTBLANK('Bid Sheet'!$R$96:$R$96)&gt;0,COUNTBLANK('Bid Sheet'!$X$96:$X$96)&gt;0, SUM(COUNTBLANK('Bid Sheet'!$D$3:$E$3), COUNTBLANK('Bid Sheet'!$D$4:$E$4), COUNTBLANK('Bid Sheet'!$D$5:$E$5), COUNTBLANK('Bid Sheet'!$D$6:$E$6), COUNTBLANK('Bid Sheet'!$D$7:$E$7))&gt;0), "No", "Yes"))</f>
        <v/>
      </c>
      <c r="B96" s="8"/>
      <c r="C96" s="8" t="s">
        <v>210</v>
      </c>
      <c r="D96" s="8" t="s">
        <v>488</v>
      </c>
      <c r="E96" s="8" t="s">
        <v>489</v>
      </c>
      <c r="F96" s="8" t="s">
        <v>490</v>
      </c>
      <c r="G96" s="8" t="s">
        <v>491</v>
      </c>
      <c r="H96" s="8" t="s">
        <v>492</v>
      </c>
      <c r="I96" s="8" t="s">
        <v>624</v>
      </c>
      <c r="J96" s="8" t="s">
        <v>625</v>
      </c>
      <c r="K96" s="8" t="s">
        <v>621</v>
      </c>
      <c r="L96" s="17">
        <v>860</v>
      </c>
      <c r="M96" s="8" t="s">
        <v>496</v>
      </c>
      <c r="N96" s="8" t="s">
        <v>497</v>
      </c>
      <c r="O96" s="17">
        <v>379</v>
      </c>
      <c r="P96" s="17">
        <v>70</v>
      </c>
      <c r="Q96" s="18">
        <v>5.8</v>
      </c>
      <c r="R96" s="19"/>
      <c r="S96" s="8" t="s">
        <v>66</v>
      </c>
      <c r="T96" s="8"/>
      <c r="U96" s="10"/>
      <c r="V96" s="8"/>
      <c r="W96" s="10"/>
      <c r="X96" s="9"/>
      <c r="Y96" s="20"/>
      <c r="Z96" s="9"/>
    </row>
    <row r="97" spans="1:26" x14ac:dyDescent="0.25">
      <c r="A97" s="21" t="str">
        <f>IF(AND(COUNTBLANK('Bid Sheet'!$R$97:$R$97)=1,COUNTBLANK('Bid Sheet'!$U$97:$U$97)=1,COUNTBLANK('Bid Sheet'!$W$97:$Z$97)=4),"",IF(OR(COUNTBLANK('Bid Sheet'!$R$97:$R$97)&gt;0,COUNTBLANK('Bid Sheet'!$X$97:$X$97)&gt;0, SUM(COUNTBLANK('Bid Sheet'!$D$3:$E$3), COUNTBLANK('Bid Sheet'!$D$4:$E$4), COUNTBLANK('Bid Sheet'!$D$5:$E$5), COUNTBLANK('Bid Sheet'!$D$6:$E$6), COUNTBLANK('Bid Sheet'!$D$7:$E$7))&gt;0), "No", "Yes"))</f>
        <v/>
      </c>
      <c r="B97" s="21"/>
      <c r="C97" s="21" t="s">
        <v>211</v>
      </c>
      <c r="D97" s="21" t="s">
        <v>488</v>
      </c>
      <c r="E97" s="21" t="s">
        <v>489</v>
      </c>
      <c r="F97" s="21" t="s">
        <v>490</v>
      </c>
      <c r="G97" s="21" t="s">
        <v>491</v>
      </c>
      <c r="H97" s="21" t="s">
        <v>492</v>
      </c>
      <c r="I97" s="21" t="s">
        <v>626</v>
      </c>
      <c r="J97" s="21" t="s">
        <v>623</v>
      </c>
      <c r="K97" s="21" t="s">
        <v>621</v>
      </c>
      <c r="L97" s="22">
        <v>827</v>
      </c>
      <c r="M97" s="21" t="s">
        <v>496</v>
      </c>
      <c r="N97" s="21" t="s">
        <v>497</v>
      </c>
      <c r="O97" s="22">
        <v>368</v>
      </c>
      <c r="P97" s="22">
        <v>25</v>
      </c>
      <c r="Q97" s="23">
        <v>2.1</v>
      </c>
      <c r="R97" s="24"/>
      <c r="S97" s="21" t="s">
        <v>66</v>
      </c>
      <c r="T97" s="21" t="s">
        <v>501</v>
      </c>
      <c r="U97" s="12"/>
      <c r="V97" s="21"/>
      <c r="W97" s="12"/>
      <c r="X97" s="11"/>
      <c r="Y97" s="25"/>
      <c r="Z97" s="11"/>
    </row>
    <row r="98" spans="1:26" x14ac:dyDescent="0.25">
      <c r="A98" s="8" t="str">
        <f>IF(AND(COUNTBLANK('Bid Sheet'!$R$98:$R$98)=1,COUNTBLANK('Bid Sheet'!$U$98:$U$98)=1,COUNTBLANK('Bid Sheet'!$W$98:$Z$98)=4),"",IF(OR(COUNTBLANK('Bid Sheet'!$R$98:$R$98)&gt;0,COUNTBLANK('Bid Sheet'!$X$98:$X$98)&gt;0, SUM(COUNTBLANK('Bid Sheet'!$D$3:$E$3), COUNTBLANK('Bid Sheet'!$D$4:$E$4), COUNTBLANK('Bid Sheet'!$D$5:$E$5), COUNTBLANK('Bid Sheet'!$D$6:$E$6), COUNTBLANK('Bid Sheet'!$D$7:$E$7))&gt;0), "No", "Yes"))</f>
        <v/>
      </c>
      <c r="B98" s="8"/>
      <c r="C98" s="8" t="s">
        <v>212</v>
      </c>
      <c r="D98" s="8" t="s">
        <v>488</v>
      </c>
      <c r="E98" s="8" t="s">
        <v>489</v>
      </c>
      <c r="F98" s="8" t="s">
        <v>490</v>
      </c>
      <c r="G98" s="8" t="s">
        <v>491</v>
      </c>
      <c r="H98" s="8" t="s">
        <v>492</v>
      </c>
      <c r="I98" s="8" t="s">
        <v>627</v>
      </c>
      <c r="J98" s="8" t="s">
        <v>628</v>
      </c>
      <c r="K98" s="8" t="s">
        <v>621</v>
      </c>
      <c r="L98" s="17">
        <v>878</v>
      </c>
      <c r="M98" s="8" t="s">
        <v>496</v>
      </c>
      <c r="N98" s="8" t="s">
        <v>497</v>
      </c>
      <c r="O98" s="17">
        <v>387</v>
      </c>
      <c r="P98" s="17">
        <v>80</v>
      </c>
      <c r="Q98" s="18">
        <v>6.7</v>
      </c>
      <c r="R98" s="19"/>
      <c r="S98" s="8" t="s">
        <v>66</v>
      </c>
      <c r="T98" s="8" t="s">
        <v>501</v>
      </c>
      <c r="U98" s="10"/>
      <c r="V98" s="8"/>
      <c r="W98" s="10"/>
      <c r="X98" s="9"/>
      <c r="Y98" s="20"/>
      <c r="Z98" s="9"/>
    </row>
    <row r="99" spans="1:26" x14ac:dyDescent="0.25">
      <c r="A99" s="21" t="str">
        <f>IF(AND(COUNTBLANK('Bid Sheet'!$R$99:$R$99)=1,COUNTBLANK('Bid Sheet'!$U$99:$U$99)=1,COUNTBLANK('Bid Sheet'!$W$99:$Z$99)=4),"",IF(OR(COUNTBLANK('Bid Sheet'!$R$99:$R$99)&gt;0,COUNTBLANK('Bid Sheet'!$X$99:$X$99)&gt;0, SUM(COUNTBLANK('Bid Sheet'!$D$3:$E$3), COUNTBLANK('Bid Sheet'!$D$4:$E$4), COUNTBLANK('Bid Sheet'!$D$5:$E$5), COUNTBLANK('Bid Sheet'!$D$6:$E$6), COUNTBLANK('Bid Sheet'!$D$7:$E$7))&gt;0), "No", "Yes"))</f>
        <v/>
      </c>
      <c r="B99" s="21"/>
      <c r="C99" s="21" t="s">
        <v>213</v>
      </c>
      <c r="D99" s="21" t="s">
        <v>488</v>
      </c>
      <c r="E99" s="21" t="s">
        <v>489</v>
      </c>
      <c r="F99" s="21" t="s">
        <v>490</v>
      </c>
      <c r="G99" s="21" t="s">
        <v>491</v>
      </c>
      <c r="H99" s="21" t="s">
        <v>492</v>
      </c>
      <c r="I99" s="21" t="s">
        <v>629</v>
      </c>
      <c r="J99" s="21" t="s">
        <v>630</v>
      </c>
      <c r="K99" s="21" t="s">
        <v>621</v>
      </c>
      <c r="L99" s="22">
        <v>941</v>
      </c>
      <c r="M99" s="21" t="s">
        <v>496</v>
      </c>
      <c r="N99" s="21" t="s">
        <v>497</v>
      </c>
      <c r="O99" s="22">
        <v>384</v>
      </c>
      <c r="P99" s="22">
        <v>12</v>
      </c>
      <c r="Q99" s="23">
        <v>1</v>
      </c>
      <c r="R99" s="24"/>
      <c r="S99" s="21" t="s">
        <v>66</v>
      </c>
      <c r="T99" s="21"/>
      <c r="U99" s="12"/>
      <c r="V99" s="21"/>
      <c r="W99" s="12"/>
      <c r="X99" s="11"/>
      <c r="Y99" s="25"/>
      <c r="Z99" s="11"/>
    </row>
    <row r="100" spans="1:26" x14ac:dyDescent="0.25">
      <c r="A100" s="8" t="str">
        <f>IF(AND(COUNTBLANK('Bid Sheet'!$R$100:$R$100)=1,COUNTBLANK('Bid Sheet'!$U$100:$U$100)=1,COUNTBLANK('Bid Sheet'!$W$100:$Z$100)=4),"",IF(OR(COUNTBLANK('Bid Sheet'!$R$100:$R$100)&gt;0,COUNTBLANK('Bid Sheet'!$X$100:$X$100)&gt;0, SUM(COUNTBLANK('Bid Sheet'!$D$3:$E$3), COUNTBLANK('Bid Sheet'!$D$4:$E$4), COUNTBLANK('Bid Sheet'!$D$5:$E$5), COUNTBLANK('Bid Sheet'!$D$6:$E$6), COUNTBLANK('Bid Sheet'!$D$7:$E$7))&gt;0), "No", "Yes"))</f>
        <v/>
      </c>
      <c r="B100" s="8"/>
      <c r="C100" s="8" t="s">
        <v>214</v>
      </c>
      <c r="D100" s="8" t="s">
        <v>488</v>
      </c>
      <c r="E100" s="8" t="s">
        <v>489</v>
      </c>
      <c r="F100" s="8" t="s">
        <v>490</v>
      </c>
      <c r="G100" s="8" t="s">
        <v>491</v>
      </c>
      <c r="H100" s="8" t="s">
        <v>492</v>
      </c>
      <c r="I100" s="8" t="s">
        <v>631</v>
      </c>
      <c r="J100" s="8" t="s">
        <v>632</v>
      </c>
      <c r="K100" s="8" t="s">
        <v>633</v>
      </c>
      <c r="L100" s="17">
        <v>353</v>
      </c>
      <c r="M100" s="8" t="s">
        <v>496</v>
      </c>
      <c r="N100" s="8" t="s">
        <v>497</v>
      </c>
      <c r="O100" s="17">
        <v>143</v>
      </c>
      <c r="P100" s="17">
        <v>18</v>
      </c>
      <c r="Q100" s="18">
        <v>1.5</v>
      </c>
      <c r="R100" s="19"/>
      <c r="S100" s="8" t="s">
        <v>66</v>
      </c>
      <c r="T100" s="8"/>
      <c r="U100" s="10"/>
      <c r="V100" s="8"/>
      <c r="W100" s="10"/>
      <c r="X100" s="9"/>
      <c r="Y100" s="20"/>
      <c r="Z100" s="9"/>
    </row>
    <row r="101" spans="1:26" x14ac:dyDescent="0.25">
      <c r="A101" s="21" t="str">
        <f>IF(AND(COUNTBLANK('Bid Sheet'!$R$101:$R$101)=1,COUNTBLANK('Bid Sheet'!$U$101:$U$101)=1,COUNTBLANK('Bid Sheet'!$W$101:$Z$101)=4),"",IF(OR(COUNTBLANK('Bid Sheet'!$R$101:$R$101)&gt;0,COUNTBLANK('Bid Sheet'!$X$101:$X$101)&gt;0, SUM(COUNTBLANK('Bid Sheet'!$D$3:$E$3), COUNTBLANK('Bid Sheet'!$D$4:$E$4), COUNTBLANK('Bid Sheet'!$D$5:$E$5), COUNTBLANK('Bid Sheet'!$D$6:$E$6), COUNTBLANK('Bid Sheet'!$D$7:$E$7))&gt;0), "No", "Yes"))</f>
        <v/>
      </c>
      <c r="B101" s="21"/>
      <c r="C101" s="21" t="s">
        <v>215</v>
      </c>
      <c r="D101" s="21" t="s">
        <v>488</v>
      </c>
      <c r="E101" s="21" t="s">
        <v>489</v>
      </c>
      <c r="F101" s="21" t="s">
        <v>490</v>
      </c>
      <c r="G101" s="21" t="s">
        <v>491</v>
      </c>
      <c r="H101" s="21" t="s">
        <v>492</v>
      </c>
      <c r="I101" s="21" t="s">
        <v>634</v>
      </c>
      <c r="J101" s="21" t="s">
        <v>635</v>
      </c>
      <c r="K101" s="21" t="s">
        <v>636</v>
      </c>
      <c r="L101" s="22">
        <v>1396</v>
      </c>
      <c r="M101" s="21" t="s">
        <v>496</v>
      </c>
      <c r="N101" s="21" t="s">
        <v>497</v>
      </c>
      <c r="O101" s="22">
        <v>597</v>
      </c>
      <c r="P101" s="22">
        <v>38</v>
      </c>
      <c r="Q101" s="23">
        <v>3.2</v>
      </c>
      <c r="R101" s="24"/>
      <c r="S101" s="21" t="s">
        <v>66</v>
      </c>
      <c r="T101" s="21"/>
      <c r="U101" s="12"/>
      <c r="V101" s="21"/>
      <c r="W101" s="12"/>
      <c r="X101" s="11"/>
      <c r="Y101" s="25"/>
      <c r="Z101" s="11"/>
    </row>
    <row r="102" spans="1:26" x14ac:dyDescent="0.25">
      <c r="A102" s="8" t="str">
        <f>IF(AND(COUNTBLANK('Bid Sheet'!$R$102:$R$102)=1,COUNTBLANK('Bid Sheet'!$U$102:$U$102)=1,COUNTBLANK('Bid Sheet'!$W$102:$Z$102)=4),"",IF(OR(COUNTBLANK('Bid Sheet'!$R$102:$R$102)&gt;0,COUNTBLANK('Bid Sheet'!$X$102:$X$102)&gt;0, SUM(COUNTBLANK('Bid Sheet'!$D$3:$E$3), COUNTBLANK('Bid Sheet'!$D$4:$E$4), COUNTBLANK('Bid Sheet'!$D$5:$E$5), COUNTBLANK('Bid Sheet'!$D$6:$E$6), COUNTBLANK('Bid Sheet'!$D$7:$E$7))&gt;0), "No", "Yes"))</f>
        <v/>
      </c>
      <c r="B102" s="8"/>
      <c r="C102" s="8" t="s">
        <v>216</v>
      </c>
      <c r="D102" s="8" t="s">
        <v>488</v>
      </c>
      <c r="E102" s="8" t="s">
        <v>489</v>
      </c>
      <c r="F102" s="8" t="s">
        <v>490</v>
      </c>
      <c r="G102" s="8" t="s">
        <v>491</v>
      </c>
      <c r="H102" s="8" t="s">
        <v>492</v>
      </c>
      <c r="I102" s="8" t="s">
        <v>637</v>
      </c>
      <c r="J102" s="8" t="s">
        <v>638</v>
      </c>
      <c r="K102" s="8" t="s">
        <v>639</v>
      </c>
      <c r="L102" s="17">
        <v>553</v>
      </c>
      <c r="M102" s="8" t="s">
        <v>496</v>
      </c>
      <c r="N102" s="8" t="s">
        <v>497</v>
      </c>
      <c r="O102" s="17">
        <v>234</v>
      </c>
      <c r="P102" s="17">
        <v>50</v>
      </c>
      <c r="Q102" s="18">
        <v>4.2</v>
      </c>
      <c r="R102" s="19"/>
      <c r="S102" s="8" t="s">
        <v>66</v>
      </c>
      <c r="T102" s="8"/>
      <c r="U102" s="10"/>
      <c r="V102" s="8"/>
      <c r="W102" s="10"/>
      <c r="X102" s="9"/>
      <c r="Y102" s="20"/>
      <c r="Z102" s="9"/>
    </row>
    <row r="103" spans="1:26" x14ac:dyDescent="0.25">
      <c r="A103" s="21" t="str">
        <f>IF(AND(COUNTBLANK('Bid Sheet'!$R$103:$R$103)=1,COUNTBLANK('Bid Sheet'!$U$103:$U$103)=1,COUNTBLANK('Bid Sheet'!$W$103:$Z$103)=4),"",IF(OR(COUNTBLANK('Bid Sheet'!$R$103:$R$103)&gt;0,COUNTBLANK('Bid Sheet'!$X$103:$X$103)&gt;0, SUM(COUNTBLANK('Bid Sheet'!$D$3:$E$3), COUNTBLANK('Bid Sheet'!$D$4:$E$4), COUNTBLANK('Bid Sheet'!$D$5:$E$5), COUNTBLANK('Bid Sheet'!$D$6:$E$6), COUNTBLANK('Bid Sheet'!$D$7:$E$7))&gt;0), "No", "Yes"))</f>
        <v/>
      </c>
      <c r="B103" s="21"/>
      <c r="C103" s="21" t="s">
        <v>217</v>
      </c>
      <c r="D103" s="21" t="s">
        <v>488</v>
      </c>
      <c r="E103" s="21" t="s">
        <v>489</v>
      </c>
      <c r="F103" s="21" t="s">
        <v>490</v>
      </c>
      <c r="G103" s="21" t="s">
        <v>491</v>
      </c>
      <c r="H103" s="21" t="s">
        <v>492</v>
      </c>
      <c r="I103" s="21" t="s">
        <v>640</v>
      </c>
      <c r="J103" s="21" t="s">
        <v>641</v>
      </c>
      <c r="K103" s="21" t="s">
        <v>639</v>
      </c>
      <c r="L103" s="22">
        <v>470</v>
      </c>
      <c r="M103" s="21" t="s">
        <v>496</v>
      </c>
      <c r="N103" s="21" t="s">
        <v>497</v>
      </c>
      <c r="O103" s="22">
        <v>207</v>
      </c>
      <c r="P103" s="22">
        <v>24</v>
      </c>
      <c r="Q103" s="23">
        <v>2</v>
      </c>
      <c r="R103" s="24"/>
      <c r="S103" s="21" t="s">
        <v>66</v>
      </c>
      <c r="T103" s="21"/>
      <c r="U103" s="12"/>
      <c r="V103" s="21"/>
      <c r="W103" s="12"/>
      <c r="X103" s="11"/>
      <c r="Y103" s="25"/>
      <c r="Z103" s="11"/>
    </row>
    <row r="104" spans="1:26" x14ac:dyDescent="0.25">
      <c r="A104" s="8" t="str">
        <f>IF(AND(COUNTBLANK('Bid Sheet'!$R$104:$R$104)=1,COUNTBLANK('Bid Sheet'!$U$104:$U$104)=1,COUNTBLANK('Bid Sheet'!$W$104:$Z$104)=4),"",IF(OR(COUNTBLANK('Bid Sheet'!$R$104:$R$104)&gt;0,COUNTBLANK('Bid Sheet'!$X$104:$X$104)&gt;0, SUM(COUNTBLANK('Bid Sheet'!$D$3:$E$3), COUNTBLANK('Bid Sheet'!$D$4:$E$4), COUNTBLANK('Bid Sheet'!$D$5:$E$5), COUNTBLANK('Bid Sheet'!$D$6:$E$6), COUNTBLANK('Bid Sheet'!$D$7:$E$7))&gt;0), "No", "Yes"))</f>
        <v/>
      </c>
      <c r="B104" s="8"/>
      <c r="C104" s="8" t="s">
        <v>218</v>
      </c>
      <c r="D104" s="8" t="s">
        <v>488</v>
      </c>
      <c r="E104" s="8" t="s">
        <v>489</v>
      </c>
      <c r="F104" s="8" t="s">
        <v>490</v>
      </c>
      <c r="G104" s="8" t="s">
        <v>491</v>
      </c>
      <c r="H104" s="8" t="s">
        <v>492</v>
      </c>
      <c r="I104" s="8" t="s">
        <v>642</v>
      </c>
      <c r="J104" s="8" t="s">
        <v>643</v>
      </c>
      <c r="K104" s="8" t="s">
        <v>639</v>
      </c>
      <c r="L104" s="17">
        <v>525</v>
      </c>
      <c r="M104" s="8" t="s">
        <v>496</v>
      </c>
      <c r="N104" s="8" t="s">
        <v>497</v>
      </c>
      <c r="O104" s="17">
        <v>220</v>
      </c>
      <c r="P104" s="17">
        <v>24</v>
      </c>
      <c r="Q104" s="18">
        <v>2</v>
      </c>
      <c r="R104" s="19"/>
      <c r="S104" s="8" t="s">
        <v>66</v>
      </c>
      <c r="T104" s="8"/>
      <c r="U104" s="10"/>
      <c r="V104" s="8"/>
      <c r="W104" s="10"/>
      <c r="X104" s="9"/>
      <c r="Y104" s="20"/>
      <c r="Z104" s="9"/>
    </row>
    <row r="105" spans="1:26" x14ac:dyDescent="0.25">
      <c r="A105" s="21" t="str">
        <f>IF(AND(COUNTBLANK('Bid Sheet'!$R$105:$R$105)=1,COUNTBLANK('Bid Sheet'!$U$105:$U$105)=1,COUNTBLANK('Bid Sheet'!$W$105:$Z$105)=4),"",IF(OR(COUNTBLANK('Bid Sheet'!$R$105:$R$105)&gt;0,COUNTBLANK('Bid Sheet'!$X$105:$X$105)&gt;0, SUM(COUNTBLANK('Bid Sheet'!$D$3:$E$3), COUNTBLANK('Bid Sheet'!$D$4:$E$4), COUNTBLANK('Bid Sheet'!$D$5:$E$5), COUNTBLANK('Bid Sheet'!$D$6:$E$6), COUNTBLANK('Bid Sheet'!$D$7:$E$7))&gt;0), "No", "Yes"))</f>
        <v/>
      </c>
      <c r="B105" s="21"/>
      <c r="C105" s="21" t="s">
        <v>219</v>
      </c>
      <c r="D105" s="21" t="s">
        <v>488</v>
      </c>
      <c r="E105" s="21" t="s">
        <v>489</v>
      </c>
      <c r="F105" s="21" t="s">
        <v>490</v>
      </c>
      <c r="G105" s="21" t="s">
        <v>491</v>
      </c>
      <c r="H105" s="21" t="s">
        <v>492</v>
      </c>
      <c r="I105" s="21" t="s">
        <v>644</v>
      </c>
      <c r="J105" s="21" t="s">
        <v>645</v>
      </c>
      <c r="K105" s="21" t="s">
        <v>639</v>
      </c>
      <c r="L105" s="22">
        <v>452</v>
      </c>
      <c r="M105" s="21" t="s">
        <v>496</v>
      </c>
      <c r="N105" s="21" t="s">
        <v>497</v>
      </c>
      <c r="O105" s="22">
        <v>187</v>
      </c>
      <c r="P105" s="22">
        <v>167</v>
      </c>
      <c r="Q105" s="23">
        <v>13.9</v>
      </c>
      <c r="R105" s="24"/>
      <c r="S105" s="21" t="s">
        <v>66</v>
      </c>
      <c r="T105" s="21" t="s">
        <v>501</v>
      </c>
      <c r="U105" s="12"/>
      <c r="V105" s="21"/>
      <c r="W105" s="12"/>
      <c r="X105" s="11"/>
      <c r="Y105" s="25"/>
      <c r="Z105" s="11"/>
    </row>
    <row r="106" spans="1:26" x14ac:dyDescent="0.25">
      <c r="A106" s="8" t="str">
        <f>IF(AND(COUNTBLANK('Bid Sheet'!$R$106:$R$106)=1,COUNTBLANK('Bid Sheet'!$U$106:$U$106)=1,COUNTBLANK('Bid Sheet'!$W$106:$Z$106)=4),"",IF(OR(COUNTBLANK('Bid Sheet'!$R$106:$R$106)&gt;0,COUNTBLANK('Bid Sheet'!$X$106:$X$106)&gt;0, SUM(COUNTBLANK('Bid Sheet'!$D$3:$E$3), COUNTBLANK('Bid Sheet'!$D$4:$E$4), COUNTBLANK('Bid Sheet'!$D$5:$E$5), COUNTBLANK('Bid Sheet'!$D$6:$E$6), COUNTBLANK('Bid Sheet'!$D$7:$E$7))&gt;0), "No", "Yes"))</f>
        <v/>
      </c>
      <c r="B106" s="8"/>
      <c r="C106" s="8" t="s">
        <v>220</v>
      </c>
      <c r="D106" s="8" t="s">
        <v>488</v>
      </c>
      <c r="E106" s="8" t="s">
        <v>489</v>
      </c>
      <c r="F106" s="8" t="s">
        <v>490</v>
      </c>
      <c r="G106" s="8" t="s">
        <v>491</v>
      </c>
      <c r="H106" s="8" t="s">
        <v>492</v>
      </c>
      <c r="I106" s="8" t="s">
        <v>646</v>
      </c>
      <c r="J106" s="8" t="s">
        <v>647</v>
      </c>
      <c r="K106" s="8" t="s">
        <v>639</v>
      </c>
      <c r="L106" s="17">
        <v>433</v>
      </c>
      <c r="M106" s="8" t="s">
        <v>496</v>
      </c>
      <c r="N106" s="8" t="s">
        <v>497</v>
      </c>
      <c r="O106" s="17">
        <v>191</v>
      </c>
      <c r="P106" s="17">
        <v>30</v>
      </c>
      <c r="Q106" s="18">
        <v>2.5</v>
      </c>
      <c r="R106" s="19"/>
      <c r="S106" s="8" t="s">
        <v>66</v>
      </c>
      <c r="T106" s="8"/>
      <c r="U106" s="10"/>
      <c r="V106" s="8"/>
      <c r="W106" s="10"/>
      <c r="X106" s="9"/>
      <c r="Y106" s="20"/>
      <c r="Z106" s="9"/>
    </row>
    <row r="107" spans="1:26" x14ac:dyDescent="0.25">
      <c r="A107" s="21" t="str">
        <f>IF(AND(COUNTBLANK('Bid Sheet'!$R$107:$R$107)=1,COUNTBLANK('Bid Sheet'!$U$107:$U$107)=1,COUNTBLANK('Bid Sheet'!$W$107:$Z$107)=4),"",IF(OR(COUNTBLANK('Bid Sheet'!$R$107:$R$107)&gt;0,COUNTBLANK('Bid Sheet'!$X$107:$X$107)&gt;0, SUM(COUNTBLANK('Bid Sheet'!$D$3:$E$3), COUNTBLANK('Bid Sheet'!$D$4:$E$4), COUNTBLANK('Bid Sheet'!$D$5:$E$5), COUNTBLANK('Bid Sheet'!$D$6:$E$6), COUNTBLANK('Bid Sheet'!$D$7:$E$7))&gt;0), "No", "Yes"))</f>
        <v/>
      </c>
      <c r="B107" s="21"/>
      <c r="C107" s="21" t="s">
        <v>221</v>
      </c>
      <c r="D107" s="21" t="s">
        <v>488</v>
      </c>
      <c r="E107" s="21" t="s">
        <v>489</v>
      </c>
      <c r="F107" s="21" t="s">
        <v>490</v>
      </c>
      <c r="G107" s="21" t="s">
        <v>491</v>
      </c>
      <c r="H107" s="21" t="s">
        <v>492</v>
      </c>
      <c r="I107" s="21" t="s">
        <v>648</v>
      </c>
      <c r="J107" s="21" t="s">
        <v>649</v>
      </c>
      <c r="K107" s="21" t="s">
        <v>639</v>
      </c>
      <c r="L107" s="22">
        <v>419</v>
      </c>
      <c r="M107" s="21" t="s">
        <v>496</v>
      </c>
      <c r="N107" s="21" t="s">
        <v>497</v>
      </c>
      <c r="O107" s="22">
        <v>177</v>
      </c>
      <c r="P107" s="22">
        <v>120</v>
      </c>
      <c r="Q107" s="23">
        <v>10</v>
      </c>
      <c r="R107" s="24"/>
      <c r="S107" s="21" t="s">
        <v>66</v>
      </c>
      <c r="T107" s="21" t="s">
        <v>501</v>
      </c>
      <c r="U107" s="12"/>
      <c r="V107" s="21"/>
      <c r="W107" s="12"/>
      <c r="X107" s="11"/>
      <c r="Y107" s="25"/>
      <c r="Z107" s="11"/>
    </row>
    <row r="108" spans="1:26" x14ac:dyDescent="0.25">
      <c r="A108" s="8" t="str">
        <f>IF(AND(COUNTBLANK('Bid Sheet'!$R$108:$R$108)=1,COUNTBLANK('Bid Sheet'!$U$108:$U$108)=1,COUNTBLANK('Bid Sheet'!$W$108:$Z$108)=4),"",IF(OR(COUNTBLANK('Bid Sheet'!$R$108:$R$108)&gt;0,COUNTBLANK('Bid Sheet'!$X$108:$X$108)&gt;0, SUM(COUNTBLANK('Bid Sheet'!$D$3:$E$3), COUNTBLANK('Bid Sheet'!$D$4:$E$4), COUNTBLANK('Bid Sheet'!$D$5:$E$5), COUNTBLANK('Bid Sheet'!$D$6:$E$6), COUNTBLANK('Bid Sheet'!$D$7:$E$7))&gt;0), "No", "Yes"))</f>
        <v/>
      </c>
      <c r="B108" s="8"/>
      <c r="C108" s="8" t="s">
        <v>222</v>
      </c>
      <c r="D108" s="8" t="s">
        <v>488</v>
      </c>
      <c r="E108" s="8" t="s">
        <v>489</v>
      </c>
      <c r="F108" s="8" t="s">
        <v>490</v>
      </c>
      <c r="G108" s="8" t="s">
        <v>491</v>
      </c>
      <c r="H108" s="8" t="s">
        <v>492</v>
      </c>
      <c r="I108" s="8" t="s">
        <v>650</v>
      </c>
      <c r="J108" s="8" t="s">
        <v>651</v>
      </c>
      <c r="K108" s="8" t="s">
        <v>652</v>
      </c>
      <c r="L108" s="17">
        <v>527</v>
      </c>
      <c r="M108" s="8" t="s">
        <v>496</v>
      </c>
      <c r="N108" s="8" t="s">
        <v>497</v>
      </c>
      <c r="O108" s="17">
        <v>236</v>
      </c>
      <c r="P108" s="17">
        <v>26</v>
      </c>
      <c r="Q108" s="18">
        <v>2.2000000000000002</v>
      </c>
      <c r="R108" s="19"/>
      <c r="S108" s="8" t="s">
        <v>66</v>
      </c>
      <c r="T108" s="8"/>
      <c r="U108" s="10"/>
      <c r="V108" s="8"/>
      <c r="W108" s="10"/>
      <c r="X108" s="9"/>
      <c r="Y108" s="20"/>
      <c r="Z108" s="9"/>
    </row>
    <row r="109" spans="1:26" x14ac:dyDescent="0.25">
      <c r="A109" s="21" t="str">
        <f>IF(AND(COUNTBLANK('Bid Sheet'!$R$109:$R$109)=1,COUNTBLANK('Bid Sheet'!$U$109:$U$109)=1,COUNTBLANK('Bid Sheet'!$W$109:$Z$109)=4),"",IF(OR(COUNTBLANK('Bid Sheet'!$R$109:$R$109)&gt;0,COUNTBLANK('Bid Sheet'!$X$109:$X$109)&gt;0, SUM(COUNTBLANK('Bid Sheet'!$D$3:$E$3), COUNTBLANK('Bid Sheet'!$D$4:$E$4), COUNTBLANK('Bid Sheet'!$D$5:$E$5), COUNTBLANK('Bid Sheet'!$D$6:$E$6), COUNTBLANK('Bid Sheet'!$D$7:$E$7))&gt;0), "No", "Yes"))</f>
        <v/>
      </c>
      <c r="B109" s="21"/>
      <c r="C109" s="21" t="s">
        <v>223</v>
      </c>
      <c r="D109" s="21" t="s">
        <v>488</v>
      </c>
      <c r="E109" s="21" t="s">
        <v>489</v>
      </c>
      <c r="F109" s="21" t="s">
        <v>490</v>
      </c>
      <c r="G109" s="21" t="s">
        <v>491</v>
      </c>
      <c r="H109" s="21" t="s">
        <v>492</v>
      </c>
      <c r="I109" s="21" t="s">
        <v>653</v>
      </c>
      <c r="J109" s="21" t="s">
        <v>654</v>
      </c>
      <c r="K109" s="21" t="s">
        <v>652</v>
      </c>
      <c r="L109" s="22">
        <v>544</v>
      </c>
      <c r="M109" s="21" t="s">
        <v>496</v>
      </c>
      <c r="N109" s="21" t="s">
        <v>497</v>
      </c>
      <c r="O109" s="22">
        <v>243</v>
      </c>
      <c r="P109" s="22">
        <v>104</v>
      </c>
      <c r="Q109" s="23">
        <v>8.6999999999999993</v>
      </c>
      <c r="R109" s="24"/>
      <c r="S109" s="21" t="s">
        <v>66</v>
      </c>
      <c r="T109" s="21"/>
      <c r="U109" s="12"/>
      <c r="V109" s="21"/>
      <c r="W109" s="12"/>
      <c r="X109" s="11"/>
      <c r="Y109" s="25"/>
      <c r="Z109" s="11"/>
    </row>
    <row r="110" spans="1:26" x14ac:dyDescent="0.25">
      <c r="A110" s="8" t="str">
        <f>IF(AND(COUNTBLANK('Bid Sheet'!$R$110:$R$110)=1,COUNTBLANK('Bid Sheet'!$U$110:$U$110)=1,COUNTBLANK('Bid Sheet'!$W$110:$Z$110)=4),"",IF(OR(COUNTBLANK('Bid Sheet'!$R$110:$R$110)&gt;0,COUNTBLANK('Bid Sheet'!$X$110:$X$110)&gt;0, SUM(COUNTBLANK('Bid Sheet'!$D$3:$E$3), COUNTBLANK('Bid Sheet'!$D$4:$E$4), COUNTBLANK('Bid Sheet'!$D$5:$E$5), COUNTBLANK('Bid Sheet'!$D$6:$E$6), COUNTBLANK('Bid Sheet'!$D$7:$E$7))&gt;0), "No", "Yes"))</f>
        <v/>
      </c>
      <c r="B110" s="8"/>
      <c r="C110" s="8" t="s">
        <v>224</v>
      </c>
      <c r="D110" s="8" t="s">
        <v>488</v>
      </c>
      <c r="E110" s="8" t="s">
        <v>489</v>
      </c>
      <c r="F110" s="8" t="s">
        <v>490</v>
      </c>
      <c r="G110" s="8" t="s">
        <v>491</v>
      </c>
      <c r="H110" s="8" t="s">
        <v>492</v>
      </c>
      <c r="I110" s="8" t="s">
        <v>655</v>
      </c>
      <c r="J110" s="8" t="s">
        <v>656</v>
      </c>
      <c r="K110" s="8" t="s">
        <v>652</v>
      </c>
      <c r="L110" s="17">
        <v>567</v>
      </c>
      <c r="M110" s="8" t="s">
        <v>496</v>
      </c>
      <c r="N110" s="8" t="s">
        <v>497</v>
      </c>
      <c r="O110" s="17">
        <v>251</v>
      </c>
      <c r="P110" s="17">
        <v>43</v>
      </c>
      <c r="Q110" s="18">
        <v>3.6</v>
      </c>
      <c r="R110" s="19"/>
      <c r="S110" s="8" t="s">
        <v>66</v>
      </c>
      <c r="T110" s="8"/>
      <c r="U110" s="10"/>
      <c r="V110" s="8"/>
      <c r="W110" s="10"/>
      <c r="X110" s="9"/>
      <c r="Y110" s="20"/>
      <c r="Z110" s="9"/>
    </row>
    <row r="111" spans="1:26" x14ac:dyDescent="0.25">
      <c r="A111" s="21" t="str">
        <f>IF(AND(COUNTBLANK('Bid Sheet'!$R$111:$R$111)=1,COUNTBLANK('Bid Sheet'!$U$111:$U$111)=1,COUNTBLANK('Bid Sheet'!$W$111:$Z$111)=4),"",IF(OR(COUNTBLANK('Bid Sheet'!$R$111:$R$111)&gt;0,COUNTBLANK('Bid Sheet'!$X$111:$X$111)&gt;0, SUM(COUNTBLANK('Bid Sheet'!$D$3:$E$3), COUNTBLANK('Bid Sheet'!$D$4:$E$4), COUNTBLANK('Bid Sheet'!$D$5:$E$5), COUNTBLANK('Bid Sheet'!$D$6:$E$6), COUNTBLANK('Bid Sheet'!$D$7:$E$7))&gt;0), "No", "Yes"))</f>
        <v/>
      </c>
      <c r="B111" s="21"/>
      <c r="C111" s="21" t="s">
        <v>225</v>
      </c>
      <c r="D111" s="21" t="s">
        <v>488</v>
      </c>
      <c r="E111" s="21" t="s">
        <v>489</v>
      </c>
      <c r="F111" s="21" t="s">
        <v>490</v>
      </c>
      <c r="G111" s="21" t="s">
        <v>491</v>
      </c>
      <c r="H111" s="21" t="s">
        <v>492</v>
      </c>
      <c r="I111" s="21" t="s">
        <v>657</v>
      </c>
      <c r="J111" s="21" t="s">
        <v>658</v>
      </c>
      <c r="K111" s="21" t="s">
        <v>652</v>
      </c>
      <c r="L111" s="22">
        <v>574</v>
      </c>
      <c r="M111" s="21" t="s">
        <v>496</v>
      </c>
      <c r="N111" s="21" t="s">
        <v>497</v>
      </c>
      <c r="O111" s="22">
        <v>254</v>
      </c>
      <c r="P111" s="22">
        <v>46</v>
      </c>
      <c r="Q111" s="23">
        <v>3.8</v>
      </c>
      <c r="R111" s="24"/>
      <c r="S111" s="21" t="s">
        <v>66</v>
      </c>
      <c r="T111" s="21"/>
      <c r="U111" s="12"/>
      <c r="V111" s="21"/>
      <c r="W111" s="12"/>
      <c r="X111" s="11"/>
      <c r="Y111" s="25"/>
      <c r="Z111" s="11"/>
    </row>
    <row r="112" spans="1:26" x14ac:dyDescent="0.25">
      <c r="A112" s="8" t="str">
        <f>IF(AND(COUNTBLANK('Bid Sheet'!$R$112:$R$112)=1,COUNTBLANK('Bid Sheet'!$U$112:$U$112)=1,COUNTBLANK('Bid Sheet'!$W$112:$Z$112)=4),"",IF(OR(COUNTBLANK('Bid Sheet'!$R$112:$R$112)&gt;0,COUNTBLANK('Bid Sheet'!$X$112:$X$112)&gt;0, SUM(COUNTBLANK('Bid Sheet'!$D$3:$E$3), COUNTBLANK('Bid Sheet'!$D$4:$E$4), COUNTBLANK('Bid Sheet'!$D$5:$E$5), COUNTBLANK('Bid Sheet'!$D$6:$E$6), COUNTBLANK('Bid Sheet'!$D$7:$E$7))&gt;0), "No", "Yes"))</f>
        <v/>
      </c>
      <c r="B112" s="8"/>
      <c r="C112" s="8" t="s">
        <v>226</v>
      </c>
      <c r="D112" s="8" t="s">
        <v>488</v>
      </c>
      <c r="E112" s="8" t="s">
        <v>489</v>
      </c>
      <c r="F112" s="8" t="s">
        <v>490</v>
      </c>
      <c r="G112" s="8" t="s">
        <v>491</v>
      </c>
      <c r="H112" s="8" t="s">
        <v>492</v>
      </c>
      <c r="I112" s="8" t="s">
        <v>659</v>
      </c>
      <c r="J112" s="8" t="s">
        <v>660</v>
      </c>
      <c r="K112" s="8" t="s">
        <v>652</v>
      </c>
      <c r="L112" s="17">
        <v>518</v>
      </c>
      <c r="M112" s="8" t="s">
        <v>496</v>
      </c>
      <c r="N112" s="8" t="s">
        <v>497</v>
      </c>
      <c r="O112" s="17">
        <v>234</v>
      </c>
      <c r="P112" s="17">
        <v>42</v>
      </c>
      <c r="Q112" s="18">
        <v>3.5</v>
      </c>
      <c r="R112" s="19"/>
      <c r="S112" s="8" t="s">
        <v>66</v>
      </c>
      <c r="T112" s="8" t="s">
        <v>501</v>
      </c>
      <c r="U112" s="10"/>
      <c r="V112" s="8"/>
      <c r="W112" s="10"/>
      <c r="X112" s="9"/>
      <c r="Y112" s="20"/>
      <c r="Z112" s="9"/>
    </row>
    <row r="113" spans="1:26" x14ac:dyDescent="0.25">
      <c r="A113" s="21" t="str">
        <f>IF(AND(COUNTBLANK('Bid Sheet'!$R$113:$R$113)=1,COUNTBLANK('Bid Sheet'!$U$113:$U$113)=1,COUNTBLANK('Bid Sheet'!$W$113:$Z$113)=4),"",IF(OR(COUNTBLANK('Bid Sheet'!$R$113:$R$113)&gt;0,COUNTBLANK('Bid Sheet'!$X$113:$X$113)&gt;0, SUM(COUNTBLANK('Bid Sheet'!$D$3:$E$3), COUNTBLANK('Bid Sheet'!$D$4:$E$4), COUNTBLANK('Bid Sheet'!$D$5:$E$5), COUNTBLANK('Bid Sheet'!$D$6:$E$6), COUNTBLANK('Bid Sheet'!$D$7:$E$7))&gt;0), "No", "Yes"))</f>
        <v/>
      </c>
      <c r="B113" s="21"/>
      <c r="C113" s="21" t="s">
        <v>227</v>
      </c>
      <c r="D113" s="21" t="s">
        <v>488</v>
      </c>
      <c r="E113" s="21" t="s">
        <v>489</v>
      </c>
      <c r="F113" s="21" t="s">
        <v>490</v>
      </c>
      <c r="G113" s="21" t="s">
        <v>491</v>
      </c>
      <c r="H113" s="21" t="s">
        <v>492</v>
      </c>
      <c r="I113" s="21" t="s">
        <v>661</v>
      </c>
      <c r="J113" s="21" t="s">
        <v>662</v>
      </c>
      <c r="K113" s="21" t="s">
        <v>652</v>
      </c>
      <c r="L113" s="22">
        <v>662</v>
      </c>
      <c r="M113" s="21" t="s">
        <v>496</v>
      </c>
      <c r="N113" s="21" t="s">
        <v>497</v>
      </c>
      <c r="O113" s="22">
        <v>290</v>
      </c>
      <c r="P113" s="22">
        <v>144</v>
      </c>
      <c r="Q113" s="23">
        <v>12</v>
      </c>
      <c r="R113" s="24"/>
      <c r="S113" s="21" t="s">
        <v>66</v>
      </c>
      <c r="T113" s="21" t="s">
        <v>501</v>
      </c>
      <c r="U113" s="12"/>
      <c r="V113" s="21"/>
      <c r="W113" s="12"/>
      <c r="X113" s="11"/>
      <c r="Y113" s="25"/>
      <c r="Z113" s="11"/>
    </row>
    <row r="114" spans="1:26" x14ac:dyDescent="0.25">
      <c r="A114" s="8" t="str">
        <f>IF(AND(COUNTBLANK('Bid Sheet'!$R$114:$R$114)=1,COUNTBLANK('Bid Sheet'!$U$114:$U$114)=1,COUNTBLANK('Bid Sheet'!$W$114:$Z$114)=4),"",IF(OR(COUNTBLANK('Bid Sheet'!$R$114:$R$114)&gt;0,COUNTBLANK('Bid Sheet'!$X$114:$X$114)&gt;0, SUM(COUNTBLANK('Bid Sheet'!$D$3:$E$3), COUNTBLANK('Bid Sheet'!$D$4:$E$4), COUNTBLANK('Bid Sheet'!$D$5:$E$5), COUNTBLANK('Bid Sheet'!$D$6:$E$6), COUNTBLANK('Bid Sheet'!$D$7:$E$7))&gt;0), "No", "Yes"))</f>
        <v/>
      </c>
      <c r="B114" s="8"/>
      <c r="C114" s="8" t="s">
        <v>228</v>
      </c>
      <c r="D114" s="8" t="s">
        <v>488</v>
      </c>
      <c r="E114" s="8" t="s">
        <v>489</v>
      </c>
      <c r="F114" s="8" t="s">
        <v>490</v>
      </c>
      <c r="G114" s="8" t="s">
        <v>491</v>
      </c>
      <c r="H114" s="8" t="s">
        <v>492</v>
      </c>
      <c r="I114" s="8" t="s">
        <v>663</v>
      </c>
      <c r="J114" s="8" t="s">
        <v>664</v>
      </c>
      <c r="K114" s="8" t="s">
        <v>652</v>
      </c>
      <c r="L114" s="17">
        <v>595</v>
      </c>
      <c r="M114" s="8" t="s">
        <v>496</v>
      </c>
      <c r="N114" s="8" t="s">
        <v>497</v>
      </c>
      <c r="O114" s="17">
        <v>259</v>
      </c>
      <c r="P114" s="17">
        <v>162</v>
      </c>
      <c r="Q114" s="18">
        <v>13.5</v>
      </c>
      <c r="R114" s="19"/>
      <c r="S114" s="8" t="s">
        <v>66</v>
      </c>
      <c r="T114" s="8" t="s">
        <v>501</v>
      </c>
      <c r="U114" s="10"/>
      <c r="V114" s="8"/>
      <c r="W114" s="10"/>
      <c r="X114" s="9"/>
      <c r="Y114" s="20"/>
      <c r="Z114" s="9"/>
    </row>
    <row r="115" spans="1:26" x14ac:dyDescent="0.25">
      <c r="A115" s="21" t="str">
        <f>IF(AND(COUNTBLANK('Bid Sheet'!$R$115:$R$115)=1,COUNTBLANK('Bid Sheet'!$U$115:$U$115)=1,COUNTBLANK('Bid Sheet'!$W$115:$Z$115)=4),"",IF(OR(COUNTBLANK('Bid Sheet'!$R$115:$R$115)&gt;0,COUNTBLANK('Bid Sheet'!$X$115:$X$115)&gt;0, SUM(COUNTBLANK('Bid Sheet'!$D$3:$E$3), COUNTBLANK('Bid Sheet'!$D$4:$E$4), COUNTBLANK('Bid Sheet'!$D$5:$E$5), COUNTBLANK('Bid Sheet'!$D$6:$E$6), COUNTBLANK('Bid Sheet'!$D$7:$E$7))&gt;0), "No", "Yes"))</f>
        <v/>
      </c>
      <c r="B115" s="21"/>
      <c r="C115" s="21" t="s">
        <v>229</v>
      </c>
      <c r="D115" s="21" t="s">
        <v>488</v>
      </c>
      <c r="E115" s="21" t="s">
        <v>489</v>
      </c>
      <c r="F115" s="21" t="s">
        <v>490</v>
      </c>
      <c r="G115" s="21" t="s">
        <v>491</v>
      </c>
      <c r="H115" s="21" t="s">
        <v>492</v>
      </c>
      <c r="I115" s="21" t="s">
        <v>665</v>
      </c>
      <c r="J115" s="21" t="s">
        <v>666</v>
      </c>
      <c r="K115" s="21" t="s">
        <v>652</v>
      </c>
      <c r="L115" s="22">
        <v>577</v>
      </c>
      <c r="M115" s="21" t="s">
        <v>496</v>
      </c>
      <c r="N115" s="21" t="s">
        <v>497</v>
      </c>
      <c r="O115" s="22">
        <v>256</v>
      </c>
      <c r="P115" s="22">
        <v>12</v>
      </c>
      <c r="Q115" s="23">
        <v>1</v>
      </c>
      <c r="R115" s="24"/>
      <c r="S115" s="21" t="s">
        <v>66</v>
      </c>
      <c r="T115" s="21"/>
      <c r="U115" s="12"/>
      <c r="V115" s="21"/>
      <c r="W115" s="12"/>
      <c r="X115" s="11"/>
      <c r="Y115" s="25"/>
      <c r="Z115" s="11"/>
    </row>
    <row r="116" spans="1:26" x14ac:dyDescent="0.25">
      <c r="A116" s="8" t="str">
        <f>IF(AND(COUNTBLANK('Bid Sheet'!$R$116:$R$116)=1,COUNTBLANK('Bid Sheet'!$U$116:$U$116)=1,COUNTBLANK('Bid Sheet'!$W$116:$Z$116)=4),"",IF(OR(COUNTBLANK('Bid Sheet'!$R$116:$R$116)&gt;0,COUNTBLANK('Bid Sheet'!$X$116:$X$116)&gt;0, SUM(COUNTBLANK('Bid Sheet'!$D$3:$E$3), COUNTBLANK('Bid Sheet'!$D$4:$E$4), COUNTBLANK('Bid Sheet'!$D$5:$E$5), COUNTBLANK('Bid Sheet'!$D$6:$E$6), COUNTBLANK('Bid Sheet'!$D$7:$E$7))&gt;0), "No", "Yes"))</f>
        <v/>
      </c>
      <c r="B116" s="8"/>
      <c r="C116" s="8" t="s">
        <v>230</v>
      </c>
      <c r="D116" s="8" t="s">
        <v>488</v>
      </c>
      <c r="E116" s="8" t="s">
        <v>489</v>
      </c>
      <c r="F116" s="8" t="s">
        <v>490</v>
      </c>
      <c r="G116" s="8" t="s">
        <v>491</v>
      </c>
      <c r="H116" s="8" t="s">
        <v>492</v>
      </c>
      <c r="I116" s="8" t="s">
        <v>667</v>
      </c>
      <c r="J116" s="8" t="s">
        <v>668</v>
      </c>
      <c r="K116" s="8" t="s">
        <v>492</v>
      </c>
      <c r="L116" s="17">
        <v>16</v>
      </c>
      <c r="M116" s="8" t="s">
        <v>496</v>
      </c>
      <c r="N116" s="8" t="s">
        <v>497</v>
      </c>
      <c r="O116" s="17">
        <v>5</v>
      </c>
      <c r="P116" s="17">
        <v>41</v>
      </c>
      <c r="Q116" s="18">
        <v>3.4</v>
      </c>
      <c r="R116" s="19"/>
      <c r="S116" s="8" t="s">
        <v>66</v>
      </c>
      <c r="T116" s="8"/>
      <c r="U116" s="10"/>
      <c r="V116" s="8"/>
      <c r="W116" s="10"/>
      <c r="X116" s="9"/>
      <c r="Y116" s="20"/>
      <c r="Z116" s="9"/>
    </row>
    <row r="117" spans="1:26" x14ac:dyDescent="0.25">
      <c r="A117" s="21" t="str">
        <f>IF(AND(COUNTBLANK('Bid Sheet'!$R$117:$R$117)=1,COUNTBLANK('Bid Sheet'!$U$117:$U$117)=1,COUNTBLANK('Bid Sheet'!$W$117:$Z$117)=4),"",IF(OR(COUNTBLANK('Bid Sheet'!$R$117:$R$117)&gt;0,COUNTBLANK('Bid Sheet'!$X$117:$X$117)&gt;0, SUM(COUNTBLANK('Bid Sheet'!$D$3:$E$3), COUNTBLANK('Bid Sheet'!$D$4:$E$4), COUNTBLANK('Bid Sheet'!$D$5:$E$5), COUNTBLANK('Bid Sheet'!$D$6:$E$6), COUNTBLANK('Bid Sheet'!$D$7:$E$7))&gt;0), "No", "Yes"))</f>
        <v/>
      </c>
      <c r="B117" s="21"/>
      <c r="C117" s="21" t="s">
        <v>231</v>
      </c>
      <c r="D117" s="21" t="s">
        <v>488</v>
      </c>
      <c r="E117" s="21" t="s">
        <v>489</v>
      </c>
      <c r="F117" s="21" t="s">
        <v>502</v>
      </c>
      <c r="G117" s="21" t="s">
        <v>503</v>
      </c>
      <c r="H117" s="21" t="s">
        <v>504</v>
      </c>
      <c r="I117" s="21" t="s">
        <v>669</v>
      </c>
      <c r="J117" s="21" t="s">
        <v>670</v>
      </c>
      <c r="K117" s="21" t="s">
        <v>671</v>
      </c>
      <c r="L117" s="22">
        <v>563</v>
      </c>
      <c r="M117" s="21" t="s">
        <v>496</v>
      </c>
      <c r="N117" s="21" t="s">
        <v>497</v>
      </c>
      <c r="O117" s="22">
        <v>287</v>
      </c>
      <c r="P117" s="22">
        <v>24</v>
      </c>
      <c r="Q117" s="23">
        <v>2</v>
      </c>
      <c r="R117" s="24"/>
      <c r="S117" s="21" t="s">
        <v>66</v>
      </c>
      <c r="T117" s="21"/>
      <c r="U117" s="12"/>
      <c r="V117" s="21"/>
      <c r="W117" s="12"/>
      <c r="X117" s="11"/>
      <c r="Y117" s="25"/>
      <c r="Z117" s="11"/>
    </row>
    <row r="118" spans="1:26" x14ac:dyDescent="0.25">
      <c r="A118" s="8" t="str">
        <f>IF(AND(COUNTBLANK('Bid Sheet'!$R$118:$R$118)=1,COUNTBLANK('Bid Sheet'!$U$118:$U$118)=1,COUNTBLANK('Bid Sheet'!$W$118:$Z$118)=4),"",IF(OR(COUNTBLANK('Bid Sheet'!$R$118:$R$118)&gt;0,COUNTBLANK('Bid Sheet'!$X$118:$X$118)&gt;0, SUM(COUNTBLANK('Bid Sheet'!$D$3:$E$3), COUNTBLANK('Bid Sheet'!$D$4:$E$4), COUNTBLANK('Bid Sheet'!$D$5:$E$5), COUNTBLANK('Bid Sheet'!$D$6:$E$6), COUNTBLANK('Bid Sheet'!$D$7:$E$7))&gt;0), "No", "Yes"))</f>
        <v/>
      </c>
      <c r="B118" s="8"/>
      <c r="C118" s="8" t="s">
        <v>232</v>
      </c>
      <c r="D118" s="8" t="s">
        <v>488</v>
      </c>
      <c r="E118" s="8" t="s">
        <v>489</v>
      </c>
      <c r="F118" s="8" t="s">
        <v>490</v>
      </c>
      <c r="G118" s="8" t="s">
        <v>491</v>
      </c>
      <c r="H118" s="8" t="s">
        <v>492</v>
      </c>
      <c r="I118" s="8" t="s">
        <v>672</v>
      </c>
      <c r="J118" s="8" t="s">
        <v>673</v>
      </c>
      <c r="K118" s="8" t="s">
        <v>671</v>
      </c>
      <c r="L118" s="17">
        <v>637</v>
      </c>
      <c r="M118" s="8" t="s">
        <v>496</v>
      </c>
      <c r="N118" s="8" t="s">
        <v>497</v>
      </c>
      <c r="O118" s="17">
        <v>287</v>
      </c>
      <c r="P118" s="17">
        <v>10</v>
      </c>
      <c r="Q118" s="18">
        <v>0.8</v>
      </c>
      <c r="R118" s="19"/>
      <c r="S118" s="8" t="s">
        <v>66</v>
      </c>
      <c r="T118" s="8"/>
      <c r="U118" s="10"/>
      <c r="V118" s="8"/>
      <c r="W118" s="10"/>
      <c r="X118" s="9"/>
      <c r="Y118" s="20"/>
      <c r="Z118" s="9"/>
    </row>
    <row r="119" spans="1:26" x14ac:dyDescent="0.25">
      <c r="A119" s="21" t="str">
        <f>IF(AND(COUNTBLANK('Bid Sheet'!$R$119:$R$119)=1,COUNTBLANK('Bid Sheet'!$U$119:$U$119)=1,COUNTBLANK('Bid Sheet'!$W$119:$Z$119)=4),"",IF(OR(COUNTBLANK('Bid Sheet'!$R$119:$R$119)&gt;0,COUNTBLANK('Bid Sheet'!$X$119:$X$119)&gt;0, SUM(COUNTBLANK('Bid Sheet'!$D$3:$E$3), COUNTBLANK('Bid Sheet'!$D$4:$E$4), COUNTBLANK('Bid Sheet'!$D$5:$E$5), COUNTBLANK('Bid Sheet'!$D$6:$E$6), COUNTBLANK('Bid Sheet'!$D$7:$E$7))&gt;0), "No", "Yes"))</f>
        <v/>
      </c>
      <c r="B119" s="21"/>
      <c r="C119" s="21" t="s">
        <v>233</v>
      </c>
      <c r="D119" s="21" t="s">
        <v>488</v>
      </c>
      <c r="E119" s="21" t="s">
        <v>489</v>
      </c>
      <c r="F119" s="21" t="s">
        <v>490</v>
      </c>
      <c r="G119" s="21" t="s">
        <v>491</v>
      </c>
      <c r="H119" s="21" t="s">
        <v>492</v>
      </c>
      <c r="I119" s="21" t="s">
        <v>674</v>
      </c>
      <c r="J119" s="21" t="s">
        <v>675</v>
      </c>
      <c r="K119" s="21" t="s">
        <v>671</v>
      </c>
      <c r="L119" s="22">
        <v>926</v>
      </c>
      <c r="M119" s="21" t="s">
        <v>496</v>
      </c>
      <c r="N119" s="21" t="s">
        <v>497</v>
      </c>
      <c r="O119" s="22">
        <v>312</v>
      </c>
      <c r="P119" s="22">
        <v>96</v>
      </c>
      <c r="Q119" s="23">
        <v>8</v>
      </c>
      <c r="R119" s="24"/>
      <c r="S119" s="21" t="s">
        <v>66</v>
      </c>
      <c r="T119" s="21" t="s">
        <v>501</v>
      </c>
      <c r="U119" s="12"/>
      <c r="V119" s="21"/>
      <c r="W119" s="12"/>
      <c r="X119" s="11"/>
      <c r="Y119" s="25"/>
      <c r="Z119" s="11"/>
    </row>
    <row r="120" spans="1:26" x14ac:dyDescent="0.25">
      <c r="A120" s="8" t="str">
        <f>IF(AND(COUNTBLANK('Bid Sheet'!$R$120:$R$120)=1,COUNTBLANK('Bid Sheet'!$U$120:$U$120)=1,COUNTBLANK('Bid Sheet'!$W$120:$Z$120)=4),"",IF(OR(COUNTBLANK('Bid Sheet'!$R$120:$R$120)&gt;0,COUNTBLANK('Bid Sheet'!$X$120:$X$120)&gt;0, SUM(COUNTBLANK('Bid Sheet'!$D$3:$E$3), COUNTBLANK('Bid Sheet'!$D$4:$E$4), COUNTBLANK('Bid Sheet'!$D$5:$E$5), COUNTBLANK('Bid Sheet'!$D$6:$E$6), COUNTBLANK('Bid Sheet'!$D$7:$E$7))&gt;0), "No", "Yes"))</f>
        <v/>
      </c>
      <c r="B120" s="8"/>
      <c r="C120" s="8" t="s">
        <v>234</v>
      </c>
      <c r="D120" s="8" t="s">
        <v>488</v>
      </c>
      <c r="E120" s="8" t="s">
        <v>489</v>
      </c>
      <c r="F120" s="8" t="s">
        <v>490</v>
      </c>
      <c r="G120" s="8" t="s">
        <v>491</v>
      </c>
      <c r="H120" s="8" t="s">
        <v>492</v>
      </c>
      <c r="I120" s="8" t="s">
        <v>676</v>
      </c>
      <c r="J120" s="8" t="s">
        <v>677</v>
      </c>
      <c r="K120" s="8" t="s">
        <v>671</v>
      </c>
      <c r="L120" s="17">
        <v>558</v>
      </c>
      <c r="M120" s="8" t="s">
        <v>496</v>
      </c>
      <c r="N120" s="8" t="s">
        <v>497</v>
      </c>
      <c r="O120" s="17">
        <v>248</v>
      </c>
      <c r="P120" s="17">
        <v>30</v>
      </c>
      <c r="Q120" s="18">
        <v>2.5</v>
      </c>
      <c r="R120" s="19"/>
      <c r="S120" s="8" t="s">
        <v>66</v>
      </c>
      <c r="T120" s="8"/>
      <c r="U120" s="10"/>
      <c r="V120" s="8"/>
      <c r="W120" s="10"/>
      <c r="X120" s="9"/>
      <c r="Y120" s="20"/>
      <c r="Z120" s="9"/>
    </row>
    <row r="121" spans="1:26" x14ac:dyDescent="0.25">
      <c r="A121" s="21" t="str">
        <f>IF(AND(COUNTBLANK('Bid Sheet'!$R$121:$R$121)=1,COUNTBLANK('Bid Sheet'!$U$121:$U$121)=1,COUNTBLANK('Bid Sheet'!$W$121:$Z$121)=4),"",IF(OR(COUNTBLANK('Bid Sheet'!$R$121:$R$121)&gt;0,COUNTBLANK('Bid Sheet'!$X$121:$X$121)&gt;0, SUM(COUNTBLANK('Bid Sheet'!$D$3:$E$3), COUNTBLANK('Bid Sheet'!$D$4:$E$4), COUNTBLANK('Bid Sheet'!$D$5:$E$5), COUNTBLANK('Bid Sheet'!$D$6:$E$6), COUNTBLANK('Bid Sheet'!$D$7:$E$7))&gt;0), "No", "Yes"))</f>
        <v/>
      </c>
      <c r="B121" s="21"/>
      <c r="C121" s="21" t="s">
        <v>235</v>
      </c>
      <c r="D121" s="21" t="s">
        <v>488</v>
      </c>
      <c r="E121" s="21" t="s">
        <v>489</v>
      </c>
      <c r="F121" s="21" t="s">
        <v>490</v>
      </c>
      <c r="G121" s="21" t="s">
        <v>491</v>
      </c>
      <c r="H121" s="21" t="s">
        <v>492</v>
      </c>
      <c r="I121" s="21" t="s">
        <v>678</v>
      </c>
      <c r="J121" s="21" t="s">
        <v>679</v>
      </c>
      <c r="K121" s="21" t="s">
        <v>680</v>
      </c>
      <c r="L121" s="22">
        <v>784</v>
      </c>
      <c r="M121" s="21" t="s">
        <v>496</v>
      </c>
      <c r="N121" s="21" t="s">
        <v>497</v>
      </c>
      <c r="O121" s="22">
        <v>331</v>
      </c>
      <c r="P121" s="22">
        <v>12</v>
      </c>
      <c r="Q121" s="23">
        <v>1</v>
      </c>
      <c r="R121" s="24"/>
      <c r="S121" s="21" t="s">
        <v>66</v>
      </c>
      <c r="T121" s="21"/>
      <c r="U121" s="12"/>
      <c r="V121" s="21"/>
      <c r="W121" s="12"/>
      <c r="X121" s="11"/>
      <c r="Y121" s="25"/>
      <c r="Z121" s="11"/>
    </row>
    <row r="122" spans="1:26" x14ac:dyDescent="0.25">
      <c r="A122" s="8" t="str">
        <f>IF(AND(COUNTBLANK('Bid Sheet'!$R$122:$R$122)=1,COUNTBLANK('Bid Sheet'!$U$122:$U$122)=1,COUNTBLANK('Bid Sheet'!$W$122:$Z$122)=4),"",IF(OR(COUNTBLANK('Bid Sheet'!$R$122:$R$122)&gt;0,COUNTBLANK('Bid Sheet'!$X$122:$X$122)&gt;0, SUM(COUNTBLANK('Bid Sheet'!$D$3:$E$3), COUNTBLANK('Bid Sheet'!$D$4:$E$4), COUNTBLANK('Bid Sheet'!$D$5:$E$5), COUNTBLANK('Bid Sheet'!$D$6:$E$6), COUNTBLANK('Bid Sheet'!$D$7:$E$7))&gt;0), "No", "Yes"))</f>
        <v/>
      </c>
      <c r="B122" s="8"/>
      <c r="C122" s="8" t="s">
        <v>236</v>
      </c>
      <c r="D122" s="8" t="s">
        <v>488</v>
      </c>
      <c r="E122" s="8" t="s">
        <v>489</v>
      </c>
      <c r="F122" s="8" t="s">
        <v>490</v>
      </c>
      <c r="G122" s="8" t="s">
        <v>491</v>
      </c>
      <c r="H122" s="8" t="s">
        <v>492</v>
      </c>
      <c r="I122" s="8" t="s">
        <v>681</v>
      </c>
      <c r="J122" s="8" t="s">
        <v>682</v>
      </c>
      <c r="K122" s="8" t="s">
        <v>680</v>
      </c>
      <c r="L122" s="17">
        <v>795</v>
      </c>
      <c r="M122" s="8" t="s">
        <v>496</v>
      </c>
      <c r="N122" s="8" t="s">
        <v>497</v>
      </c>
      <c r="O122" s="17">
        <v>334</v>
      </c>
      <c r="P122" s="17">
        <v>130</v>
      </c>
      <c r="Q122" s="18">
        <v>10.8</v>
      </c>
      <c r="R122" s="19"/>
      <c r="S122" s="8" t="s">
        <v>66</v>
      </c>
      <c r="T122" s="8" t="s">
        <v>501</v>
      </c>
      <c r="U122" s="10"/>
      <c r="V122" s="8"/>
      <c r="W122" s="10"/>
      <c r="X122" s="9"/>
      <c r="Y122" s="20"/>
      <c r="Z122" s="9"/>
    </row>
    <row r="123" spans="1:26" x14ac:dyDescent="0.25">
      <c r="A123" s="21" t="str">
        <f>IF(AND(COUNTBLANK('Bid Sheet'!$R$123:$R$123)=1,COUNTBLANK('Bid Sheet'!$U$123:$U$123)=1,COUNTBLANK('Bid Sheet'!$W$123:$Z$123)=4),"",IF(OR(COUNTBLANK('Bid Sheet'!$R$123:$R$123)&gt;0,COUNTBLANK('Bid Sheet'!$X$123:$X$123)&gt;0, SUM(COUNTBLANK('Bid Sheet'!$D$3:$E$3), COUNTBLANK('Bid Sheet'!$D$4:$E$4), COUNTBLANK('Bid Sheet'!$D$5:$E$5), COUNTBLANK('Bid Sheet'!$D$6:$E$6), COUNTBLANK('Bid Sheet'!$D$7:$E$7))&gt;0), "No", "Yes"))</f>
        <v/>
      </c>
      <c r="B123" s="21"/>
      <c r="C123" s="21" t="s">
        <v>237</v>
      </c>
      <c r="D123" s="21" t="s">
        <v>488</v>
      </c>
      <c r="E123" s="21" t="s">
        <v>489</v>
      </c>
      <c r="F123" s="21" t="s">
        <v>490</v>
      </c>
      <c r="G123" s="21" t="s">
        <v>491</v>
      </c>
      <c r="H123" s="21" t="s">
        <v>492</v>
      </c>
      <c r="I123" s="21" t="s">
        <v>683</v>
      </c>
      <c r="J123" s="21" t="s">
        <v>684</v>
      </c>
      <c r="K123" s="21" t="s">
        <v>680</v>
      </c>
      <c r="L123" s="22">
        <v>768</v>
      </c>
      <c r="M123" s="21" t="s">
        <v>496</v>
      </c>
      <c r="N123" s="21" t="s">
        <v>497</v>
      </c>
      <c r="O123" s="22">
        <v>331</v>
      </c>
      <c r="P123" s="22">
        <v>14</v>
      </c>
      <c r="Q123" s="23">
        <v>1.2</v>
      </c>
      <c r="R123" s="24"/>
      <c r="S123" s="21" t="s">
        <v>66</v>
      </c>
      <c r="T123" s="21"/>
      <c r="U123" s="12"/>
      <c r="V123" s="21"/>
      <c r="W123" s="12"/>
      <c r="X123" s="11"/>
      <c r="Y123" s="25"/>
      <c r="Z123" s="11"/>
    </row>
    <row r="124" spans="1:26" x14ac:dyDescent="0.25">
      <c r="A124" s="8" t="str">
        <f>IF(AND(COUNTBLANK('Bid Sheet'!$R$124:$R$124)=1,COUNTBLANK('Bid Sheet'!$U$124:$U$124)=1,COUNTBLANK('Bid Sheet'!$W$124:$Z$124)=4),"",IF(OR(COUNTBLANK('Bid Sheet'!$R$124:$R$124)&gt;0,COUNTBLANK('Bid Sheet'!$X$124:$X$124)&gt;0, SUM(COUNTBLANK('Bid Sheet'!$D$3:$E$3), COUNTBLANK('Bid Sheet'!$D$4:$E$4), COUNTBLANK('Bid Sheet'!$D$5:$E$5), COUNTBLANK('Bid Sheet'!$D$6:$E$6), COUNTBLANK('Bid Sheet'!$D$7:$E$7))&gt;0), "No", "Yes"))</f>
        <v/>
      </c>
      <c r="B124" s="8"/>
      <c r="C124" s="8" t="s">
        <v>238</v>
      </c>
      <c r="D124" s="8" t="s">
        <v>488</v>
      </c>
      <c r="E124" s="8" t="s">
        <v>489</v>
      </c>
      <c r="F124" s="8" t="s">
        <v>502</v>
      </c>
      <c r="G124" s="8" t="s">
        <v>503</v>
      </c>
      <c r="H124" s="8" t="s">
        <v>504</v>
      </c>
      <c r="I124" s="8" t="s">
        <v>685</v>
      </c>
      <c r="J124" s="8" t="s">
        <v>686</v>
      </c>
      <c r="K124" s="8" t="s">
        <v>687</v>
      </c>
      <c r="L124" s="17">
        <v>343</v>
      </c>
      <c r="M124" s="8" t="s">
        <v>496</v>
      </c>
      <c r="N124" s="8" t="s">
        <v>497</v>
      </c>
      <c r="O124" s="17">
        <v>189</v>
      </c>
      <c r="P124" s="17">
        <v>76</v>
      </c>
      <c r="Q124" s="18">
        <v>6.3</v>
      </c>
      <c r="R124" s="19"/>
      <c r="S124" s="8" t="s">
        <v>66</v>
      </c>
      <c r="T124" s="8"/>
      <c r="U124" s="10"/>
      <c r="V124" s="8"/>
      <c r="W124" s="10"/>
      <c r="X124" s="9"/>
      <c r="Y124" s="20"/>
      <c r="Z124" s="9"/>
    </row>
    <row r="125" spans="1:26" x14ac:dyDescent="0.25">
      <c r="A125" s="21" t="str">
        <f>IF(AND(COUNTBLANK('Bid Sheet'!$R$125:$R$125)=1,COUNTBLANK('Bid Sheet'!$U$125:$U$125)=1,COUNTBLANK('Bid Sheet'!$W$125:$Z$125)=4),"",IF(OR(COUNTBLANK('Bid Sheet'!$R$125:$R$125)&gt;0,COUNTBLANK('Bid Sheet'!$X$125:$X$125)&gt;0, SUM(COUNTBLANK('Bid Sheet'!$D$3:$E$3), COUNTBLANK('Bid Sheet'!$D$4:$E$4), COUNTBLANK('Bid Sheet'!$D$5:$E$5), COUNTBLANK('Bid Sheet'!$D$6:$E$6), COUNTBLANK('Bid Sheet'!$D$7:$E$7))&gt;0), "No", "Yes"))</f>
        <v/>
      </c>
      <c r="B125" s="21"/>
      <c r="C125" s="21" t="s">
        <v>239</v>
      </c>
      <c r="D125" s="21" t="s">
        <v>488</v>
      </c>
      <c r="E125" s="21" t="s">
        <v>489</v>
      </c>
      <c r="F125" s="21" t="s">
        <v>502</v>
      </c>
      <c r="G125" s="21" t="s">
        <v>503</v>
      </c>
      <c r="H125" s="21" t="s">
        <v>504</v>
      </c>
      <c r="I125" s="21" t="s">
        <v>688</v>
      </c>
      <c r="J125" s="21" t="s">
        <v>689</v>
      </c>
      <c r="K125" s="21" t="s">
        <v>687</v>
      </c>
      <c r="L125" s="22">
        <v>344</v>
      </c>
      <c r="M125" s="21" t="s">
        <v>496</v>
      </c>
      <c r="N125" s="21" t="s">
        <v>497</v>
      </c>
      <c r="O125" s="22">
        <v>187</v>
      </c>
      <c r="P125" s="22">
        <v>30</v>
      </c>
      <c r="Q125" s="23">
        <v>2.5</v>
      </c>
      <c r="R125" s="24"/>
      <c r="S125" s="21" t="s">
        <v>66</v>
      </c>
      <c r="T125" s="21"/>
      <c r="U125" s="12"/>
      <c r="V125" s="21"/>
      <c r="W125" s="12"/>
      <c r="X125" s="11"/>
      <c r="Y125" s="25"/>
      <c r="Z125" s="11"/>
    </row>
    <row r="126" spans="1:26" x14ac:dyDescent="0.25">
      <c r="A126" s="8" t="str">
        <f>IF(AND(COUNTBLANK('Bid Sheet'!$R$126:$R$126)=1,COUNTBLANK('Bid Sheet'!$U$126:$U$126)=1,COUNTBLANK('Bid Sheet'!$W$126:$Z$126)=4),"",IF(OR(COUNTBLANK('Bid Sheet'!$R$126:$R$126)&gt;0,COUNTBLANK('Bid Sheet'!$X$126:$X$126)&gt;0, SUM(COUNTBLANK('Bid Sheet'!$D$3:$E$3), COUNTBLANK('Bid Sheet'!$D$4:$E$4), COUNTBLANK('Bid Sheet'!$D$5:$E$5), COUNTBLANK('Bid Sheet'!$D$6:$E$6), COUNTBLANK('Bid Sheet'!$D$7:$E$7))&gt;0), "No", "Yes"))</f>
        <v/>
      </c>
      <c r="B126" s="8"/>
      <c r="C126" s="8" t="s">
        <v>240</v>
      </c>
      <c r="D126" s="8" t="s">
        <v>488</v>
      </c>
      <c r="E126" s="8" t="s">
        <v>489</v>
      </c>
      <c r="F126" s="8" t="s">
        <v>502</v>
      </c>
      <c r="G126" s="8" t="s">
        <v>503</v>
      </c>
      <c r="H126" s="8" t="s">
        <v>504</v>
      </c>
      <c r="I126" s="8" t="s">
        <v>690</v>
      </c>
      <c r="J126" s="8" t="s">
        <v>691</v>
      </c>
      <c r="K126" s="8" t="s">
        <v>687</v>
      </c>
      <c r="L126" s="17">
        <v>327</v>
      </c>
      <c r="M126" s="8" t="s">
        <v>496</v>
      </c>
      <c r="N126" s="8" t="s">
        <v>497</v>
      </c>
      <c r="O126" s="17">
        <v>174</v>
      </c>
      <c r="P126" s="17">
        <v>37</v>
      </c>
      <c r="Q126" s="18">
        <v>3.1</v>
      </c>
      <c r="R126" s="19"/>
      <c r="S126" s="8" t="s">
        <v>66</v>
      </c>
      <c r="T126" s="8"/>
      <c r="U126" s="10"/>
      <c r="V126" s="8"/>
      <c r="W126" s="10"/>
      <c r="X126" s="9"/>
      <c r="Y126" s="20"/>
      <c r="Z126" s="9"/>
    </row>
    <row r="127" spans="1:26" x14ac:dyDescent="0.25">
      <c r="A127" s="21" t="str">
        <f>IF(AND(COUNTBLANK('Bid Sheet'!$R$127:$R$127)=1,COUNTBLANK('Bid Sheet'!$U$127:$U$127)=1,COUNTBLANK('Bid Sheet'!$W$127:$Z$127)=4),"",IF(OR(COUNTBLANK('Bid Sheet'!$R$127:$R$127)&gt;0,COUNTBLANK('Bid Sheet'!$X$127:$X$127)&gt;0, SUM(COUNTBLANK('Bid Sheet'!$D$3:$E$3), COUNTBLANK('Bid Sheet'!$D$4:$E$4), COUNTBLANK('Bid Sheet'!$D$5:$E$5), COUNTBLANK('Bid Sheet'!$D$6:$E$6), COUNTBLANK('Bid Sheet'!$D$7:$E$7))&gt;0), "No", "Yes"))</f>
        <v/>
      </c>
      <c r="B127" s="21"/>
      <c r="C127" s="21" t="s">
        <v>241</v>
      </c>
      <c r="D127" s="21" t="s">
        <v>488</v>
      </c>
      <c r="E127" s="21" t="s">
        <v>489</v>
      </c>
      <c r="F127" s="21" t="s">
        <v>490</v>
      </c>
      <c r="G127" s="21" t="s">
        <v>491</v>
      </c>
      <c r="H127" s="21" t="s">
        <v>492</v>
      </c>
      <c r="I127" s="21" t="s">
        <v>692</v>
      </c>
      <c r="J127" s="21" t="s">
        <v>693</v>
      </c>
      <c r="K127" s="21" t="s">
        <v>687</v>
      </c>
      <c r="L127" s="22">
        <v>1388</v>
      </c>
      <c r="M127" s="21" t="s">
        <v>496</v>
      </c>
      <c r="N127" s="21" t="s">
        <v>497</v>
      </c>
      <c r="O127" s="22">
        <v>649</v>
      </c>
      <c r="P127" s="22">
        <v>9</v>
      </c>
      <c r="Q127" s="23">
        <v>0.8</v>
      </c>
      <c r="R127" s="24"/>
      <c r="S127" s="21" t="s">
        <v>66</v>
      </c>
      <c r="T127" s="21"/>
      <c r="U127" s="12"/>
      <c r="V127" s="21"/>
      <c r="W127" s="12"/>
      <c r="X127" s="11"/>
      <c r="Y127" s="25"/>
      <c r="Z127" s="11"/>
    </row>
    <row r="128" spans="1:26" x14ac:dyDescent="0.25">
      <c r="A128" s="8" t="str">
        <f>IF(AND(COUNTBLANK('Bid Sheet'!$R$128:$R$128)=1,COUNTBLANK('Bid Sheet'!$U$128:$U$128)=1,COUNTBLANK('Bid Sheet'!$W$128:$Z$128)=4),"",IF(OR(COUNTBLANK('Bid Sheet'!$R$128:$R$128)&gt;0,COUNTBLANK('Bid Sheet'!$X$128:$X$128)&gt;0, SUM(COUNTBLANK('Bid Sheet'!$D$3:$E$3), COUNTBLANK('Bid Sheet'!$D$4:$E$4), COUNTBLANK('Bid Sheet'!$D$5:$E$5), COUNTBLANK('Bid Sheet'!$D$6:$E$6), COUNTBLANK('Bid Sheet'!$D$7:$E$7))&gt;0), "No", "Yes"))</f>
        <v/>
      </c>
      <c r="B128" s="8"/>
      <c r="C128" s="8" t="s">
        <v>242</v>
      </c>
      <c r="D128" s="8" t="s">
        <v>488</v>
      </c>
      <c r="E128" s="8" t="s">
        <v>489</v>
      </c>
      <c r="F128" s="8" t="s">
        <v>502</v>
      </c>
      <c r="G128" s="8" t="s">
        <v>503</v>
      </c>
      <c r="H128" s="8" t="s">
        <v>504</v>
      </c>
      <c r="I128" s="8" t="s">
        <v>694</v>
      </c>
      <c r="J128" s="8" t="s">
        <v>695</v>
      </c>
      <c r="K128" s="8" t="s">
        <v>507</v>
      </c>
      <c r="L128" s="17">
        <v>175</v>
      </c>
      <c r="M128" s="8" t="s">
        <v>496</v>
      </c>
      <c r="N128" s="8" t="s">
        <v>497</v>
      </c>
      <c r="O128" s="17">
        <v>94</v>
      </c>
      <c r="P128" s="17">
        <v>36</v>
      </c>
      <c r="Q128" s="18">
        <v>3</v>
      </c>
      <c r="R128" s="19"/>
      <c r="S128" s="8" t="s">
        <v>66</v>
      </c>
      <c r="T128" s="8"/>
      <c r="U128" s="10"/>
      <c r="V128" s="8"/>
      <c r="W128" s="10"/>
      <c r="X128" s="9"/>
      <c r="Y128" s="20"/>
      <c r="Z128" s="9"/>
    </row>
    <row r="129" spans="1:26" x14ac:dyDescent="0.25">
      <c r="A129" s="21" t="str">
        <f>IF(AND(COUNTBLANK('Bid Sheet'!$R$129:$R$129)=1,COUNTBLANK('Bid Sheet'!$U$129:$U$129)=1,COUNTBLANK('Bid Sheet'!$W$129:$Z$129)=4),"",IF(OR(COUNTBLANK('Bid Sheet'!$R$129:$R$129)&gt;0,COUNTBLANK('Bid Sheet'!$X$129:$X$129)&gt;0, SUM(COUNTBLANK('Bid Sheet'!$D$3:$E$3), COUNTBLANK('Bid Sheet'!$D$4:$E$4), COUNTBLANK('Bid Sheet'!$D$5:$E$5), COUNTBLANK('Bid Sheet'!$D$6:$E$6), COUNTBLANK('Bid Sheet'!$D$7:$E$7))&gt;0), "No", "Yes"))</f>
        <v/>
      </c>
      <c r="B129" s="21"/>
      <c r="C129" s="21" t="s">
        <v>243</v>
      </c>
      <c r="D129" s="21" t="s">
        <v>488</v>
      </c>
      <c r="E129" s="21" t="s">
        <v>489</v>
      </c>
      <c r="F129" s="21" t="s">
        <v>502</v>
      </c>
      <c r="G129" s="21" t="s">
        <v>503</v>
      </c>
      <c r="H129" s="21" t="s">
        <v>504</v>
      </c>
      <c r="I129" s="21" t="s">
        <v>696</v>
      </c>
      <c r="J129" s="21" t="s">
        <v>697</v>
      </c>
      <c r="K129" s="21" t="s">
        <v>507</v>
      </c>
      <c r="L129" s="22">
        <v>199</v>
      </c>
      <c r="M129" s="21" t="s">
        <v>496</v>
      </c>
      <c r="N129" s="21" t="s">
        <v>497</v>
      </c>
      <c r="O129" s="22">
        <v>106</v>
      </c>
      <c r="P129" s="22">
        <v>12</v>
      </c>
      <c r="Q129" s="23">
        <v>1</v>
      </c>
      <c r="R129" s="24"/>
      <c r="S129" s="21" t="s">
        <v>66</v>
      </c>
      <c r="T129" s="21"/>
      <c r="U129" s="12"/>
      <c r="V129" s="21"/>
      <c r="W129" s="12"/>
      <c r="X129" s="11"/>
      <c r="Y129" s="25"/>
      <c r="Z129" s="11"/>
    </row>
    <row r="130" spans="1:26" x14ac:dyDescent="0.25">
      <c r="A130" s="8" t="str">
        <f>IF(AND(COUNTBLANK('Bid Sheet'!$R$130:$R$130)=1,COUNTBLANK('Bid Sheet'!$U$130:$U$130)=1,COUNTBLANK('Bid Sheet'!$W$130:$Z$130)=4),"",IF(OR(COUNTBLANK('Bid Sheet'!$R$130:$R$130)&gt;0,COUNTBLANK('Bid Sheet'!$X$130:$X$130)&gt;0, SUM(COUNTBLANK('Bid Sheet'!$D$3:$E$3), COUNTBLANK('Bid Sheet'!$D$4:$E$4), COUNTBLANK('Bid Sheet'!$D$5:$E$5), COUNTBLANK('Bid Sheet'!$D$6:$E$6), COUNTBLANK('Bid Sheet'!$D$7:$E$7))&gt;0), "No", "Yes"))</f>
        <v/>
      </c>
      <c r="B130" s="8"/>
      <c r="C130" s="8" t="s">
        <v>244</v>
      </c>
      <c r="D130" s="8" t="s">
        <v>488</v>
      </c>
      <c r="E130" s="8" t="s">
        <v>489</v>
      </c>
      <c r="F130" s="8" t="s">
        <v>502</v>
      </c>
      <c r="G130" s="8" t="s">
        <v>503</v>
      </c>
      <c r="H130" s="8" t="s">
        <v>504</v>
      </c>
      <c r="I130" s="8" t="s">
        <v>698</v>
      </c>
      <c r="J130" s="8" t="s">
        <v>699</v>
      </c>
      <c r="K130" s="8" t="s">
        <v>507</v>
      </c>
      <c r="L130" s="17">
        <v>154</v>
      </c>
      <c r="M130" s="8" t="s">
        <v>496</v>
      </c>
      <c r="N130" s="8" t="s">
        <v>497</v>
      </c>
      <c r="O130" s="17">
        <v>86</v>
      </c>
      <c r="P130" s="17">
        <v>20</v>
      </c>
      <c r="Q130" s="18">
        <v>1.7</v>
      </c>
      <c r="R130" s="19"/>
      <c r="S130" s="8" t="s">
        <v>66</v>
      </c>
      <c r="T130" s="8"/>
      <c r="U130" s="10"/>
      <c r="V130" s="8"/>
      <c r="W130" s="10"/>
      <c r="X130" s="9"/>
      <c r="Y130" s="20"/>
      <c r="Z130" s="9"/>
    </row>
    <row r="131" spans="1:26" x14ac:dyDescent="0.25">
      <c r="A131" s="21" t="str">
        <f>IF(AND(COUNTBLANK('Bid Sheet'!$R$131:$R$131)=1,COUNTBLANK('Bid Sheet'!$U$131:$U$131)=1,COUNTBLANK('Bid Sheet'!$W$131:$Z$131)=4),"",IF(OR(COUNTBLANK('Bid Sheet'!$R$131:$R$131)&gt;0,COUNTBLANK('Bid Sheet'!$X$131:$X$131)&gt;0, SUM(COUNTBLANK('Bid Sheet'!$D$3:$E$3), COUNTBLANK('Bid Sheet'!$D$4:$E$4), COUNTBLANK('Bid Sheet'!$D$5:$E$5), COUNTBLANK('Bid Sheet'!$D$6:$E$6), COUNTBLANK('Bid Sheet'!$D$7:$E$7))&gt;0), "No", "Yes"))</f>
        <v/>
      </c>
      <c r="B131" s="21"/>
      <c r="C131" s="21" t="s">
        <v>245</v>
      </c>
      <c r="D131" s="21" t="s">
        <v>488</v>
      </c>
      <c r="E131" s="21" t="s">
        <v>489</v>
      </c>
      <c r="F131" s="21" t="s">
        <v>502</v>
      </c>
      <c r="G131" s="21" t="s">
        <v>503</v>
      </c>
      <c r="H131" s="21" t="s">
        <v>504</v>
      </c>
      <c r="I131" s="21" t="s">
        <v>700</v>
      </c>
      <c r="J131" s="21" t="s">
        <v>701</v>
      </c>
      <c r="K131" s="21" t="s">
        <v>507</v>
      </c>
      <c r="L131" s="22">
        <v>166</v>
      </c>
      <c r="M131" s="21" t="s">
        <v>496</v>
      </c>
      <c r="N131" s="21" t="s">
        <v>497</v>
      </c>
      <c r="O131" s="22">
        <v>91</v>
      </c>
      <c r="P131" s="22">
        <v>14</v>
      </c>
      <c r="Q131" s="23">
        <v>1.2</v>
      </c>
      <c r="R131" s="24"/>
      <c r="S131" s="21" t="s">
        <v>66</v>
      </c>
      <c r="T131" s="21"/>
      <c r="U131" s="12"/>
      <c r="V131" s="21"/>
      <c r="W131" s="12"/>
      <c r="X131" s="11"/>
      <c r="Y131" s="25"/>
      <c r="Z131" s="11"/>
    </row>
    <row r="132" spans="1:26" x14ac:dyDescent="0.25">
      <c r="A132" s="8" t="str">
        <f>IF(AND(COUNTBLANK('Bid Sheet'!$R$132:$R$132)=1,COUNTBLANK('Bid Sheet'!$U$132:$U$132)=1,COUNTBLANK('Bid Sheet'!$W$132:$Z$132)=4),"",IF(OR(COUNTBLANK('Bid Sheet'!$R$132:$R$132)&gt;0,COUNTBLANK('Bid Sheet'!$X$132:$X$132)&gt;0, SUM(COUNTBLANK('Bid Sheet'!$D$3:$E$3), COUNTBLANK('Bid Sheet'!$D$4:$E$4), COUNTBLANK('Bid Sheet'!$D$5:$E$5), COUNTBLANK('Bid Sheet'!$D$6:$E$6), COUNTBLANK('Bid Sheet'!$D$7:$E$7))&gt;0), "No", "Yes"))</f>
        <v/>
      </c>
      <c r="B132" s="8"/>
      <c r="C132" s="8" t="s">
        <v>246</v>
      </c>
      <c r="D132" s="8" t="s">
        <v>488</v>
      </c>
      <c r="E132" s="8" t="s">
        <v>489</v>
      </c>
      <c r="F132" s="8" t="s">
        <v>502</v>
      </c>
      <c r="G132" s="8" t="s">
        <v>503</v>
      </c>
      <c r="H132" s="8" t="s">
        <v>504</v>
      </c>
      <c r="I132" s="8" t="s">
        <v>702</v>
      </c>
      <c r="J132" s="8" t="s">
        <v>703</v>
      </c>
      <c r="K132" s="8" t="s">
        <v>507</v>
      </c>
      <c r="L132" s="17">
        <v>155</v>
      </c>
      <c r="M132" s="8" t="s">
        <v>496</v>
      </c>
      <c r="N132" s="8" t="s">
        <v>497</v>
      </c>
      <c r="O132" s="17">
        <v>88</v>
      </c>
      <c r="P132" s="17">
        <v>12</v>
      </c>
      <c r="Q132" s="18">
        <v>1</v>
      </c>
      <c r="R132" s="19"/>
      <c r="S132" s="8" t="s">
        <v>66</v>
      </c>
      <c r="T132" s="8"/>
      <c r="U132" s="10"/>
      <c r="V132" s="8"/>
      <c r="W132" s="10"/>
      <c r="X132" s="9"/>
      <c r="Y132" s="20"/>
      <c r="Z132" s="9"/>
    </row>
    <row r="133" spans="1:26" x14ac:dyDescent="0.25">
      <c r="A133" s="21" t="str">
        <f>IF(AND(COUNTBLANK('Bid Sheet'!$R$133:$R$133)=1,COUNTBLANK('Bid Sheet'!$U$133:$U$133)=1,COUNTBLANK('Bid Sheet'!$W$133:$Z$133)=4),"",IF(OR(COUNTBLANK('Bid Sheet'!$R$133:$R$133)&gt;0,COUNTBLANK('Bid Sheet'!$X$133:$X$133)&gt;0, SUM(COUNTBLANK('Bid Sheet'!$D$3:$E$3), COUNTBLANK('Bid Sheet'!$D$4:$E$4), COUNTBLANK('Bid Sheet'!$D$5:$E$5), COUNTBLANK('Bid Sheet'!$D$6:$E$6), COUNTBLANK('Bid Sheet'!$D$7:$E$7))&gt;0), "No", "Yes"))</f>
        <v/>
      </c>
      <c r="B133" s="21"/>
      <c r="C133" s="21" t="s">
        <v>247</v>
      </c>
      <c r="D133" s="21" t="s">
        <v>488</v>
      </c>
      <c r="E133" s="21" t="s">
        <v>489</v>
      </c>
      <c r="F133" s="21" t="s">
        <v>502</v>
      </c>
      <c r="G133" s="21" t="s">
        <v>503</v>
      </c>
      <c r="H133" s="21" t="s">
        <v>504</v>
      </c>
      <c r="I133" s="21" t="s">
        <v>704</v>
      </c>
      <c r="J133" s="21" t="s">
        <v>705</v>
      </c>
      <c r="K133" s="21" t="s">
        <v>507</v>
      </c>
      <c r="L133" s="22">
        <v>141</v>
      </c>
      <c r="M133" s="21" t="s">
        <v>496</v>
      </c>
      <c r="N133" s="21" t="s">
        <v>497</v>
      </c>
      <c r="O133" s="22">
        <v>70</v>
      </c>
      <c r="P133" s="22">
        <v>21</v>
      </c>
      <c r="Q133" s="23">
        <v>1.8</v>
      </c>
      <c r="R133" s="24"/>
      <c r="S133" s="21" t="s">
        <v>66</v>
      </c>
      <c r="T133" s="21"/>
      <c r="U133" s="12"/>
      <c r="V133" s="21"/>
      <c r="W133" s="12"/>
      <c r="X133" s="11"/>
      <c r="Y133" s="25"/>
      <c r="Z133" s="11"/>
    </row>
    <row r="134" spans="1:26" x14ac:dyDescent="0.25">
      <c r="A134" s="8" t="str">
        <f>IF(AND(COUNTBLANK('Bid Sheet'!$R$134:$R$134)=1,COUNTBLANK('Bid Sheet'!$U$134:$U$134)=1,COUNTBLANK('Bid Sheet'!$W$134:$Z$134)=4),"",IF(OR(COUNTBLANK('Bid Sheet'!$R$134:$R$134)&gt;0,COUNTBLANK('Bid Sheet'!$X$134:$X$134)&gt;0, SUM(COUNTBLANK('Bid Sheet'!$D$3:$E$3), COUNTBLANK('Bid Sheet'!$D$4:$E$4), COUNTBLANK('Bid Sheet'!$D$5:$E$5), COUNTBLANK('Bid Sheet'!$D$6:$E$6), COUNTBLANK('Bid Sheet'!$D$7:$E$7))&gt;0), "No", "Yes"))</f>
        <v/>
      </c>
      <c r="B134" s="8"/>
      <c r="C134" s="8" t="s">
        <v>248</v>
      </c>
      <c r="D134" s="8" t="s">
        <v>488</v>
      </c>
      <c r="E134" s="8" t="s">
        <v>489</v>
      </c>
      <c r="F134" s="8" t="s">
        <v>502</v>
      </c>
      <c r="G134" s="8" t="s">
        <v>503</v>
      </c>
      <c r="H134" s="8" t="s">
        <v>504</v>
      </c>
      <c r="I134" s="8" t="s">
        <v>706</v>
      </c>
      <c r="J134" s="8" t="s">
        <v>707</v>
      </c>
      <c r="K134" s="8" t="s">
        <v>708</v>
      </c>
      <c r="L134" s="17">
        <v>431</v>
      </c>
      <c r="M134" s="8" t="s">
        <v>496</v>
      </c>
      <c r="N134" s="8" t="s">
        <v>497</v>
      </c>
      <c r="O134" s="17">
        <v>229</v>
      </c>
      <c r="P134" s="17">
        <v>24</v>
      </c>
      <c r="Q134" s="18">
        <v>2</v>
      </c>
      <c r="R134" s="19"/>
      <c r="S134" s="8" t="s">
        <v>66</v>
      </c>
      <c r="T134" s="8"/>
      <c r="U134" s="10"/>
      <c r="V134" s="8"/>
      <c r="W134" s="10"/>
      <c r="X134" s="9"/>
      <c r="Y134" s="20"/>
      <c r="Z134" s="9"/>
    </row>
    <row r="135" spans="1:26" x14ac:dyDescent="0.25">
      <c r="A135" s="21" t="str">
        <f>IF(AND(COUNTBLANK('Bid Sheet'!$R$135:$R$135)=1,COUNTBLANK('Bid Sheet'!$U$135:$U$135)=1,COUNTBLANK('Bid Sheet'!$W$135:$Z$135)=4),"",IF(OR(COUNTBLANK('Bid Sheet'!$R$135:$R$135)&gt;0,COUNTBLANK('Bid Sheet'!$X$135:$X$135)&gt;0, SUM(COUNTBLANK('Bid Sheet'!$D$3:$E$3), COUNTBLANK('Bid Sheet'!$D$4:$E$4), COUNTBLANK('Bid Sheet'!$D$5:$E$5), COUNTBLANK('Bid Sheet'!$D$6:$E$6), COUNTBLANK('Bid Sheet'!$D$7:$E$7))&gt;0), "No", "Yes"))</f>
        <v/>
      </c>
      <c r="B135" s="21"/>
      <c r="C135" s="21" t="s">
        <v>249</v>
      </c>
      <c r="D135" s="21" t="s">
        <v>488</v>
      </c>
      <c r="E135" s="21" t="s">
        <v>489</v>
      </c>
      <c r="F135" s="21" t="s">
        <v>502</v>
      </c>
      <c r="G135" s="21" t="s">
        <v>503</v>
      </c>
      <c r="H135" s="21" t="s">
        <v>504</v>
      </c>
      <c r="I135" s="21" t="s">
        <v>709</v>
      </c>
      <c r="J135" s="21" t="s">
        <v>710</v>
      </c>
      <c r="K135" s="21" t="s">
        <v>708</v>
      </c>
      <c r="L135" s="22">
        <v>460</v>
      </c>
      <c r="M135" s="21" t="s">
        <v>496</v>
      </c>
      <c r="N135" s="21" t="s">
        <v>497</v>
      </c>
      <c r="O135" s="22">
        <v>246</v>
      </c>
      <c r="P135" s="22">
        <v>103</v>
      </c>
      <c r="Q135" s="23">
        <v>8.6</v>
      </c>
      <c r="R135" s="24"/>
      <c r="S135" s="21" t="s">
        <v>66</v>
      </c>
      <c r="T135" s="21" t="s">
        <v>501</v>
      </c>
      <c r="U135" s="12"/>
      <c r="V135" s="21"/>
      <c r="W135" s="12"/>
      <c r="X135" s="11"/>
      <c r="Y135" s="25"/>
      <c r="Z135" s="11"/>
    </row>
    <row r="136" spans="1:26" x14ac:dyDescent="0.25">
      <c r="A136" s="8" t="str">
        <f>IF(AND(COUNTBLANK('Bid Sheet'!$R$136:$R$136)=1,COUNTBLANK('Bid Sheet'!$U$136:$U$136)=1,COUNTBLANK('Bid Sheet'!$W$136:$Z$136)=4),"",IF(OR(COUNTBLANK('Bid Sheet'!$R$136:$R$136)&gt;0,COUNTBLANK('Bid Sheet'!$X$136:$X$136)&gt;0, SUM(COUNTBLANK('Bid Sheet'!$D$3:$E$3), COUNTBLANK('Bid Sheet'!$D$4:$E$4), COUNTBLANK('Bid Sheet'!$D$5:$E$5), COUNTBLANK('Bid Sheet'!$D$6:$E$6), COUNTBLANK('Bid Sheet'!$D$7:$E$7))&gt;0), "No", "Yes"))</f>
        <v/>
      </c>
      <c r="B136" s="8"/>
      <c r="C136" s="8" t="s">
        <v>250</v>
      </c>
      <c r="D136" s="8" t="s">
        <v>488</v>
      </c>
      <c r="E136" s="8" t="s">
        <v>489</v>
      </c>
      <c r="F136" s="8" t="s">
        <v>490</v>
      </c>
      <c r="G136" s="8" t="s">
        <v>491</v>
      </c>
      <c r="H136" s="8" t="s">
        <v>492</v>
      </c>
      <c r="I136" s="8" t="s">
        <v>711</v>
      </c>
      <c r="J136" s="8" t="s">
        <v>712</v>
      </c>
      <c r="K136" s="8" t="s">
        <v>713</v>
      </c>
      <c r="L136" s="17">
        <v>774</v>
      </c>
      <c r="M136" s="8" t="s">
        <v>496</v>
      </c>
      <c r="N136" s="8" t="s">
        <v>497</v>
      </c>
      <c r="O136" s="17">
        <v>337</v>
      </c>
      <c r="P136" s="17">
        <v>58</v>
      </c>
      <c r="Q136" s="18">
        <v>4.8</v>
      </c>
      <c r="R136" s="19"/>
      <c r="S136" s="8" t="s">
        <v>66</v>
      </c>
      <c r="T136" s="8"/>
      <c r="U136" s="10"/>
      <c r="V136" s="8"/>
      <c r="W136" s="10"/>
      <c r="X136" s="9"/>
      <c r="Y136" s="20"/>
      <c r="Z136" s="9"/>
    </row>
    <row r="137" spans="1:26" x14ac:dyDescent="0.25">
      <c r="A137" s="21" t="str">
        <f>IF(AND(COUNTBLANK('Bid Sheet'!$R$137:$R$137)=1,COUNTBLANK('Bid Sheet'!$U$137:$U$137)=1,COUNTBLANK('Bid Sheet'!$W$137:$Z$137)=4),"",IF(OR(COUNTBLANK('Bid Sheet'!$R$137:$R$137)&gt;0,COUNTBLANK('Bid Sheet'!$X$137:$X$137)&gt;0, SUM(COUNTBLANK('Bid Sheet'!$D$3:$E$3), COUNTBLANK('Bid Sheet'!$D$4:$E$4), COUNTBLANK('Bid Sheet'!$D$5:$E$5), COUNTBLANK('Bid Sheet'!$D$6:$E$6), COUNTBLANK('Bid Sheet'!$D$7:$E$7))&gt;0), "No", "Yes"))</f>
        <v/>
      </c>
      <c r="B137" s="21"/>
      <c r="C137" s="21" t="s">
        <v>251</v>
      </c>
      <c r="D137" s="21" t="s">
        <v>488</v>
      </c>
      <c r="E137" s="21" t="s">
        <v>489</v>
      </c>
      <c r="F137" s="21" t="s">
        <v>490</v>
      </c>
      <c r="G137" s="21" t="s">
        <v>491</v>
      </c>
      <c r="H137" s="21" t="s">
        <v>492</v>
      </c>
      <c r="I137" s="21" t="s">
        <v>714</v>
      </c>
      <c r="J137" s="21" t="s">
        <v>715</v>
      </c>
      <c r="K137" s="21" t="s">
        <v>713</v>
      </c>
      <c r="L137" s="22">
        <v>754</v>
      </c>
      <c r="M137" s="21" t="s">
        <v>496</v>
      </c>
      <c r="N137" s="21" t="s">
        <v>497</v>
      </c>
      <c r="O137" s="22">
        <v>337</v>
      </c>
      <c r="P137" s="22">
        <v>28</v>
      </c>
      <c r="Q137" s="23">
        <v>2.2999999999999998</v>
      </c>
      <c r="R137" s="24"/>
      <c r="S137" s="21" t="s">
        <v>66</v>
      </c>
      <c r="T137" s="21"/>
      <c r="U137" s="12"/>
      <c r="V137" s="21"/>
      <c r="W137" s="12"/>
      <c r="X137" s="11"/>
      <c r="Y137" s="25"/>
      <c r="Z137" s="11"/>
    </row>
    <row r="138" spans="1:26" x14ac:dyDescent="0.25">
      <c r="A138" s="8" t="str">
        <f>IF(AND(COUNTBLANK('Bid Sheet'!$R$138:$R$138)=1,COUNTBLANK('Bid Sheet'!$U$138:$U$138)=1,COUNTBLANK('Bid Sheet'!$W$138:$Z$138)=4),"",IF(OR(COUNTBLANK('Bid Sheet'!$R$138:$R$138)&gt;0,COUNTBLANK('Bid Sheet'!$X$138:$X$138)&gt;0, SUM(COUNTBLANK('Bid Sheet'!$D$3:$E$3), COUNTBLANK('Bid Sheet'!$D$4:$E$4), COUNTBLANK('Bid Sheet'!$D$5:$E$5), COUNTBLANK('Bid Sheet'!$D$6:$E$6), COUNTBLANK('Bid Sheet'!$D$7:$E$7))&gt;0), "No", "Yes"))</f>
        <v/>
      </c>
      <c r="B138" s="8"/>
      <c r="C138" s="8" t="s">
        <v>252</v>
      </c>
      <c r="D138" s="8" t="s">
        <v>488</v>
      </c>
      <c r="E138" s="8" t="s">
        <v>489</v>
      </c>
      <c r="F138" s="8" t="s">
        <v>490</v>
      </c>
      <c r="G138" s="8" t="s">
        <v>491</v>
      </c>
      <c r="H138" s="8" t="s">
        <v>492</v>
      </c>
      <c r="I138" s="8" t="s">
        <v>716</v>
      </c>
      <c r="J138" s="8" t="s">
        <v>717</v>
      </c>
      <c r="K138" s="8" t="s">
        <v>713</v>
      </c>
      <c r="L138" s="17">
        <v>735</v>
      </c>
      <c r="M138" s="8" t="s">
        <v>496</v>
      </c>
      <c r="N138" s="8" t="s">
        <v>497</v>
      </c>
      <c r="O138" s="17">
        <v>326</v>
      </c>
      <c r="P138" s="17">
        <v>80</v>
      </c>
      <c r="Q138" s="18">
        <v>6.7</v>
      </c>
      <c r="R138" s="19"/>
      <c r="S138" s="8" t="s">
        <v>66</v>
      </c>
      <c r="T138" s="8"/>
      <c r="U138" s="10"/>
      <c r="V138" s="8"/>
      <c r="W138" s="10"/>
      <c r="X138" s="9"/>
      <c r="Y138" s="20"/>
      <c r="Z138" s="9"/>
    </row>
    <row r="139" spans="1:26" x14ac:dyDescent="0.25">
      <c r="A139" s="21" t="str">
        <f>IF(AND(COUNTBLANK('Bid Sheet'!$R$139:$R$139)=1,COUNTBLANK('Bid Sheet'!$U$139:$U$139)=1,COUNTBLANK('Bid Sheet'!$W$139:$Z$139)=4),"",IF(OR(COUNTBLANK('Bid Sheet'!$R$139:$R$139)&gt;0,COUNTBLANK('Bid Sheet'!$X$139:$X$139)&gt;0, SUM(COUNTBLANK('Bid Sheet'!$D$3:$E$3), COUNTBLANK('Bid Sheet'!$D$4:$E$4), COUNTBLANK('Bid Sheet'!$D$5:$E$5), COUNTBLANK('Bid Sheet'!$D$6:$E$6), COUNTBLANK('Bid Sheet'!$D$7:$E$7))&gt;0), "No", "Yes"))</f>
        <v/>
      </c>
      <c r="B139" s="21"/>
      <c r="C139" s="21" t="s">
        <v>253</v>
      </c>
      <c r="D139" s="21" t="s">
        <v>488</v>
      </c>
      <c r="E139" s="21" t="s">
        <v>489</v>
      </c>
      <c r="F139" s="21" t="s">
        <v>490</v>
      </c>
      <c r="G139" s="21" t="s">
        <v>491</v>
      </c>
      <c r="H139" s="21" t="s">
        <v>492</v>
      </c>
      <c r="I139" s="21" t="s">
        <v>718</v>
      </c>
      <c r="J139" s="21" t="s">
        <v>719</v>
      </c>
      <c r="K139" s="21" t="s">
        <v>713</v>
      </c>
      <c r="L139" s="22">
        <v>687</v>
      </c>
      <c r="M139" s="21" t="s">
        <v>496</v>
      </c>
      <c r="N139" s="21" t="s">
        <v>497</v>
      </c>
      <c r="O139" s="22">
        <v>307</v>
      </c>
      <c r="P139" s="22">
        <v>36</v>
      </c>
      <c r="Q139" s="23">
        <v>3</v>
      </c>
      <c r="R139" s="24"/>
      <c r="S139" s="21" t="s">
        <v>66</v>
      </c>
      <c r="T139" s="21"/>
      <c r="U139" s="12"/>
      <c r="V139" s="21"/>
      <c r="W139" s="12"/>
      <c r="X139" s="11"/>
      <c r="Y139" s="25"/>
      <c r="Z139" s="11"/>
    </row>
    <row r="140" spans="1:26" x14ac:dyDescent="0.25">
      <c r="A140" s="8" t="str">
        <f>IF(AND(COUNTBLANK('Bid Sheet'!$R$140:$R$140)=1,COUNTBLANK('Bid Sheet'!$U$140:$U$140)=1,COUNTBLANK('Bid Sheet'!$W$140:$Z$140)=4),"",IF(OR(COUNTBLANK('Bid Sheet'!$R$140:$R$140)&gt;0,COUNTBLANK('Bid Sheet'!$X$140:$X$140)&gt;0, SUM(COUNTBLANK('Bid Sheet'!$D$3:$E$3), COUNTBLANK('Bid Sheet'!$D$4:$E$4), COUNTBLANK('Bid Sheet'!$D$5:$E$5), COUNTBLANK('Bid Sheet'!$D$6:$E$6), COUNTBLANK('Bid Sheet'!$D$7:$E$7))&gt;0), "No", "Yes"))</f>
        <v/>
      </c>
      <c r="B140" s="8"/>
      <c r="C140" s="8" t="s">
        <v>254</v>
      </c>
      <c r="D140" s="8" t="s">
        <v>488</v>
      </c>
      <c r="E140" s="8" t="s">
        <v>489</v>
      </c>
      <c r="F140" s="8" t="s">
        <v>490</v>
      </c>
      <c r="G140" s="8" t="s">
        <v>491</v>
      </c>
      <c r="H140" s="8" t="s">
        <v>492</v>
      </c>
      <c r="I140" s="8" t="s">
        <v>720</v>
      </c>
      <c r="J140" s="8" t="s">
        <v>721</v>
      </c>
      <c r="K140" s="8" t="s">
        <v>722</v>
      </c>
      <c r="L140" s="17">
        <v>424</v>
      </c>
      <c r="M140" s="8" t="s">
        <v>496</v>
      </c>
      <c r="N140" s="8" t="s">
        <v>497</v>
      </c>
      <c r="O140" s="17">
        <v>178</v>
      </c>
      <c r="P140" s="17">
        <v>24</v>
      </c>
      <c r="Q140" s="18">
        <v>2</v>
      </c>
      <c r="R140" s="19"/>
      <c r="S140" s="8" t="s">
        <v>66</v>
      </c>
      <c r="T140" s="8"/>
      <c r="U140" s="10"/>
      <c r="V140" s="8"/>
      <c r="W140" s="10"/>
      <c r="X140" s="9"/>
      <c r="Y140" s="20"/>
      <c r="Z140" s="9"/>
    </row>
    <row r="141" spans="1:26" x14ac:dyDescent="0.25">
      <c r="A141" s="21" t="str">
        <f>IF(AND(COUNTBLANK('Bid Sheet'!$R$141:$R$141)=1,COUNTBLANK('Bid Sheet'!$U$141:$U$141)=1,COUNTBLANK('Bid Sheet'!$W$141:$Z$141)=4),"",IF(OR(COUNTBLANK('Bid Sheet'!$R$141:$R$141)&gt;0,COUNTBLANK('Bid Sheet'!$X$141:$X$141)&gt;0, SUM(COUNTBLANK('Bid Sheet'!$D$3:$E$3), COUNTBLANK('Bid Sheet'!$D$4:$E$4), COUNTBLANK('Bid Sheet'!$D$5:$E$5), COUNTBLANK('Bid Sheet'!$D$6:$E$6), COUNTBLANK('Bid Sheet'!$D$7:$E$7))&gt;0), "No", "Yes"))</f>
        <v/>
      </c>
      <c r="B141" s="21"/>
      <c r="C141" s="21" t="s">
        <v>255</v>
      </c>
      <c r="D141" s="21" t="s">
        <v>488</v>
      </c>
      <c r="E141" s="21" t="s">
        <v>489</v>
      </c>
      <c r="F141" s="21" t="s">
        <v>490</v>
      </c>
      <c r="G141" s="21" t="s">
        <v>491</v>
      </c>
      <c r="H141" s="21" t="s">
        <v>492</v>
      </c>
      <c r="I141" s="21" t="s">
        <v>723</v>
      </c>
      <c r="J141" s="21" t="s">
        <v>724</v>
      </c>
      <c r="K141" s="21" t="s">
        <v>722</v>
      </c>
      <c r="L141" s="22">
        <v>474</v>
      </c>
      <c r="M141" s="21" t="s">
        <v>496</v>
      </c>
      <c r="N141" s="21" t="s">
        <v>497</v>
      </c>
      <c r="O141" s="22">
        <v>199</v>
      </c>
      <c r="P141" s="22">
        <v>24</v>
      </c>
      <c r="Q141" s="23">
        <v>2</v>
      </c>
      <c r="R141" s="24"/>
      <c r="S141" s="21" t="s">
        <v>66</v>
      </c>
      <c r="T141" s="21"/>
      <c r="U141" s="12"/>
      <c r="V141" s="21"/>
      <c r="W141" s="12"/>
      <c r="X141" s="11"/>
      <c r="Y141" s="25"/>
      <c r="Z141" s="11"/>
    </row>
    <row r="142" spans="1:26" x14ac:dyDescent="0.25">
      <c r="A142" s="8" t="str">
        <f>IF(AND(COUNTBLANK('Bid Sheet'!$R$142:$R$142)=1,COUNTBLANK('Bid Sheet'!$U$142:$U$142)=1,COUNTBLANK('Bid Sheet'!$W$142:$Z$142)=4),"",IF(OR(COUNTBLANK('Bid Sheet'!$R$142:$R$142)&gt;0,COUNTBLANK('Bid Sheet'!$X$142:$X$142)&gt;0, SUM(COUNTBLANK('Bid Sheet'!$D$3:$E$3), COUNTBLANK('Bid Sheet'!$D$4:$E$4), COUNTBLANK('Bid Sheet'!$D$5:$E$5), COUNTBLANK('Bid Sheet'!$D$6:$E$6), COUNTBLANK('Bid Sheet'!$D$7:$E$7))&gt;0), "No", "Yes"))</f>
        <v/>
      </c>
      <c r="B142" s="8"/>
      <c r="C142" s="8" t="s">
        <v>256</v>
      </c>
      <c r="D142" s="8" t="s">
        <v>488</v>
      </c>
      <c r="E142" s="8" t="s">
        <v>489</v>
      </c>
      <c r="F142" s="8" t="s">
        <v>490</v>
      </c>
      <c r="G142" s="8" t="s">
        <v>491</v>
      </c>
      <c r="H142" s="8" t="s">
        <v>492</v>
      </c>
      <c r="I142" s="8" t="s">
        <v>725</v>
      </c>
      <c r="J142" s="8" t="s">
        <v>726</v>
      </c>
      <c r="K142" s="8" t="s">
        <v>722</v>
      </c>
      <c r="L142" s="17">
        <v>442</v>
      </c>
      <c r="M142" s="8" t="s">
        <v>496</v>
      </c>
      <c r="N142" s="8" t="s">
        <v>497</v>
      </c>
      <c r="O142" s="17">
        <v>182</v>
      </c>
      <c r="P142" s="17">
        <v>100</v>
      </c>
      <c r="Q142" s="18">
        <v>8.3000000000000007</v>
      </c>
      <c r="R142" s="19"/>
      <c r="S142" s="8" t="s">
        <v>66</v>
      </c>
      <c r="T142" s="8" t="s">
        <v>501</v>
      </c>
      <c r="U142" s="10"/>
      <c r="V142" s="8"/>
      <c r="W142" s="10"/>
      <c r="X142" s="9"/>
      <c r="Y142" s="20"/>
      <c r="Z142" s="9"/>
    </row>
    <row r="143" spans="1:26" x14ac:dyDescent="0.25">
      <c r="A143" s="21" t="str">
        <f>IF(AND(COUNTBLANK('Bid Sheet'!$R$143:$R$143)=1,COUNTBLANK('Bid Sheet'!$U$143:$U$143)=1,COUNTBLANK('Bid Sheet'!$W$143:$Z$143)=4),"",IF(OR(COUNTBLANK('Bid Sheet'!$R$143:$R$143)&gt;0,COUNTBLANK('Bid Sheet'!$X$143:$X$143)&gt;0, SUM(COUNTBLANK('Bid Sheet'!$D$3:$E$3), COUNTBLANK('Bid Sheet'!$D$4:$E$4), COUNTBLANK('Bid Sheet'!$D$5:$E$5), COUNTBLANK('Bid Sheet'!$D$6:$E$6), COUNTBLANK('Bid Sheet'!$D$7:$E$7))&gt;0), "No", "Yes"))</f>
        <v/>
      </c>
      <c r="B143" s="21"/>
      <c r="C143" s="21" t="s">
        <v>257</v>
      </c>
      <c r="D143" s="21" t="s">
        <v>488</v>
      </c>
      <c r="E143" s="21" t="s">
        <v>489</v>
      </c>
      <c r="F143" s="21" t="s">
        <v>490</v>
      </c>
      <c r="G143" s="21" t="s">
        <v>491</v>
      </c>
      <c r="H143" s="21" t="s">
        <v>492</v>
      </c>
      <c r="I143" s="21" t="s">
        <v>727</v>
      </c>
      <c r="J143" s="21" t="s">
        <v>728</v>
      </c>
      <c r="K143" s="21" t="s">
        <v>729</v>
      </c>
      <c r="L143" s="22">
        <v>273</v>
      </c>
      <c r="M143" s="21" t="s">
        <v>496</v>
      </c>
      <c r="N143" s="21" t="s">
        <v>497</v>
      </c>
      <c r="O143" s="22">
        <v>119</v>
      </c>
      <c r="P143" s="22">
        <v>25</v>
      </c>
      <c r="Q143" s="23">
        <v>2.1</v>
      </c>
      <c r="R143" s="24"/>
      <c r="S143" s="21" t="s">
        <v>66</v>
      </c>
      <c r="T143" s="21"/>
      <c r="U143" s="12"/>
      <c r="V143" s="21"/>
      <c r="W143" s="12"/>
      <c r="X143" s="11"/>
      <c r="Y143" s="25"/>
      <c r="Z143" s="11"/>
    </row>
    <row r="144" spans="1:26" x14ac:dyDescent="0.25">
      <c r="A144" s="8" t="str">
        <f>IF(AND(COUNTBLANK('Bid Sheet'!$R$144:$R$144)=1,COUNTBLANK('Bid Sheet'!$U$144:$U$144)=1,COUNTBLANK('Bid Sheet'!$W$144:$Z$144)=4),"",IF(OR(COUNTBLANK('Bid Sheet'!$R$144:$R$144)&gt;0,COUNTBLANK('Bid Sheet'!$X$144:$X$144)&gt;0, SUM(COUNTBLANK('Bid Sheet'!$D$3:$E$3), COUNTBLANK('Bid Sheet'!$D$4:$E$4), COUNTBLANK('Bid Sheet'!$D$5:$E$5), COUNTBLANK('Bid Sheet'!$D$6:$E$6), COUNTBLANK('Bid Sheet'!$D$7:$E$7))&gt;0), "No", "Yes"))</f>
        <v/>
      </c>
      <c r="B144" s="8"/>
      <c r="C144" s="8" t="s">
        <v>258</v>
      </c>
      <c r="D144" s="8" t="s">
        <v>488</v>
      </c>
      <c r="E144" s="8" t="s">
        <v>489</v>
      </c>
      <c r="F144" s="8" t="s">
        <v>490</v>
      </c>
      <c r="G144" s="8" t="s">
        <v>491</v>
      </c>
      <c r="H144" s="8" t="s">
        <v>492</v>
      </c>
      <c r="I144" s="8" t="s">
        <v>730</v>
      </c>
      <c r="J144" s="8" t="s">
        <v>731</v>
      </c>
      <c r="K144" s="8" t="s">
        <v>729</v>
      </c>
      <c r="L144" s="17">
        <v>274</v>
      </c>
      <c r="M144" s="8" t="s">
        <v>496</v>
      </c>
      <c r="N144" s="8" t="s">
        <v>497</v>
      </c>
      <c r="O144" s="17">
        <v>119</v>
      </c>
      <c r="P144" s="17">
        <v>23</v>
      </c>
      <c r="Q144" s="18">
        <v>1.9</v>
      </c>
      <c r="R144" s="19"/>
      <c r="S144" s="8" t="s">
        <v>66</v>
      </c>
      <c r="T144" s="8"/>
      <c r="U144" s="10"/>
      <c r="V144" s="8"/>
      <c r="W144" s="10"/>
      <c r="X144" s="9"/>
      <c r="Y144" s="20"/>
      <c r="Z144" s="9"/>
    </row>
    <row r="145" spans="1:26" x14ac:dyDescent="0.25">
      <c r="A145" s="21" t="str">
        <f>IF(AND(COUNTBLANK('Bid Sheet'!$R$145:$R$145)=1,COUNTBLANK('Bid Sheet'!$U$145:$U$145)=1,COUNTBLANK('Bid Sheet'!$W$145:$Z$145)=4),"",IF(OR(COUNTBLANK('Bid Sheet'!$R$145:$R$145)&gt;0,COUNTBLANK('Bid Sheet'!$X$145:$X$145)&gt;0, SUM(COUNTBLANK('Bid Sheet'!$D$3:$E$3), COUNTBLANK('Bid Sheet'!$D$4:$E$4), COUNTBLANK('Bid Sheet'!$D$5:$E$5), COUNTBLANK('Bid Sheet'!$D$6:$E$6), COUNTBLANK('Bid Sheet'!$D$7:$E$7))&gt;0), "No", "Yes"))</f>
        <v/>
      </c>
      <c r="B145" s="21"/>
      <c r="C145" s="21" t="s">
        <v>259</v>
      </c>
      <c r="D145" s="21" t="s">
        <v>488</v>
      </c>
      <c r="E145" s="21" t="s">
        <v>489</v>
      </c>
      <c r="F145" s="21" t="s">
        <v>490</v>
      </c>
      <c r="G145" s="21" t="s">
        <v>491</v>
      </c>
      <c r="H145" s="21" t="s">
        <v>492</v>
      </c>
      <c r="I145" s="21" t="s">
        <v>732</v>
      </c>
      <c r="J145" s="21" t="s">
        <v>733</v>
      </c>
      <c r="K145" s="21" t="s">
        <v>729</v>
      </c>
      <c r="L145" s="22">
        <v>258</v>
      </c>
      <c r="M145" s="21" t="s">
        <v>496</v>
      </c>
      <c r="N145" s="21" t="s">
        <v>497</v>
      </c>
      <c r="O145" s="22">
        <v>106</v>
      </c>
      <c r="P145" s="22">
        <v>40</v>
      </c>
      <c r="Q145" s="23">
        <v>3.3</v>
      </c>
      <c r="R145" s="24"/>
      <c r="S145" s="21" t="s">
        <v>66</v>
      </c>
      <c r="T145" s="21"/>
      <c r="U145" s="12"/>
      <c r="V145" s="21"/>
      <c r="W145" s="12"/>
      <c r="X145" s="11"/>
      <c r="Y145" s="25"/>
      <c r="Z145" s="11"/>
    </row>
    <row r="146" spans="1:26" x14ac:dyDescent="0.25">
      <c r="A146" s="8" t="str">
        <f>IF(AND(COUNTBLANK('Bid Sheet'!$R$146:$R$146)=1,COUNTBLANK('Bid Sheet'!$U$146:$U$146)=1,COUNTBLANK('Bid Sheet'!$W$146:$Z$146)=4),"",IF(OR(COUNTBLANK('Bid Sheet'!$R$146:$R$146)&gt;0,COUNTBLANK('Bid Sheet'!$X$146:$X$146)&gt;0, SUM(COUNTBLANK('Bid Sheet'!$D$3:$E$3), COUNTBLANK('Bid Sheet'!$D$4:$E$4), COUNTBLANK('Bid Sheet'!$D$5:$E$5), COUNTBLANK('Bid Sheet'!$D$6:$E$6), COUNTBLANK('Bid Sheet'!$D$7:$E$7))&gt;0), "No", "Yes"))</f>
        <v/>
      </c>
      <c r="B146" s="8"/>
      <c r="C146" s="8" t="s">
        <v>260</v>
      </c>
      <c r="D146" s="8" t="s">
        <v>488</v>
      </c>
      <c r="E146" s="8" t="s">
        <v>489</v>
      </c>
      <c r="F146" s="8" t="s">
        <v>490</v>
      </c>
      <c r="G146" s="8" t="s">
        <v>491</v>
      </c>
      <c r="H146" s="8" t="s">
        <v>492</v>
      </c>
      <c r="I146" s="8" t="s">
        <v>734</v>
      </c>
      <c r="J146" s="8" t="s">
        <v>735</v>
      </c>
      <c r="K146" s="8" t="s">
        <v>729</v>
      </c>
      <c r="L146" s="17">
        <v>58</v>
      </c>
      <c r="M146" s="8" t="s">
        <v>496</v>
      </c>
      <c r="N146" s="8" t="s">
        <v>497</v>
      </c>
      <c r="O146" s="17">
        <v>23</v>
      </c>
      <c r="P146" s="17">
        <v>87</v>
      </c>
      <c r="Q146" s="18">
        <v>7.3</v>
      </c>
      <c r="R146" s="19"/>
      <c r="S146" s="8" t="s">
        <v>66</v>
      </c>
      <c r="T146" s="8" t="s">
        <v>501</v>
      </c>
      <c r="U146" s="10"/>
      <c r="V146" s="8"/>
      <c r="W146" s="10"/>
      <c r="X146" s="9"/>
      <c r="Y146" s="20"/>
      <c r="Z146" s="9"/>
    </row>
    <row r="147" spans="1:26" x14ac:dyDescent="0.25">
      <c r="A147" s="21" t="str">
        <f>IF(AND(COUNTBLANK('Bid Sheet'!$R$147:$R$147)=1,COUNTBLANK('Bid Sheet'!$U$147:$U$147)=1,COUNTBLANK('Bid Sheet'!$W$147:$Z$147)=4),"",IF(OR(COUNTBLANK('Bid Sheet'!$R$147:$R$147)&gt;0,COUNTBLANK('Bid Sheet'!$X$147:$X$147)&gt;0, SUM(COUNTBLANK('Bid Sheet'!$D$3:$E$3), COUNTBLANK('Bid Sheet'!$D$4:$E$4), COUNTBLANK('Bid Sheet'!$D$5:$E$5), COUNTBLANK('Bid Sheet'!$D$6:$E$6), COUNTBLANK('Bid Sheet'!$D$7:$E$7))&gt;0), "No", "Yes"))</f>
        <v/>
      </c>
      <c r="B147" s="21"/>
      <c r="C147" s="21" t="s">
        <v>261</v>
      </c>
      <c r="D147" s="21" t="s">
        <v>488</v>
      </c>
      <c r="E147" s="21" t="s">
        <v>489</v>
      </c>
      <c r="F147" s="21" t="s">
        <v>490</v>
      </c>
      <c r="G147" s="21" t="s">
        <v>491</v>
      </c>
      <c r="H147" s="21" t="s">
        <v>492</v>
      </c>
      <c r="I147" s="21" t="s">
        <v>736</v>
      </c>
      <c r="J147" s="21" t="s">
        <v>737</v>
      </c>
      <c r="K147" s="21" t="s">
        <v>729</v>
      </c>
      <c r="L147" s="22">
        <v>186</v>
      </c>
      <c r="M147" s="21" t="s">
        <v>496</v>
      </c>
      <c r="N147" s="21" t="s">
        <v>497</v>
      </c>
      <c r="O147" s="22">
        <v>72</v>
      </c>
      <c r="P147" s="22">
        <v>120</v>
      </c>
      <c r="Q147" s="23">
        <v>10</v>
      </c>
      <c r="R147" s="24"/>
      <c r="S147" s="21" t="s">
        <v>66</v>
      </c>
      <c r="T147" s="21" t="s">
        <v>501</v>
      </c>
      <c r="U147" s="12"/>
      <c r="V147" s="21"/>
      <c r="W147" s="12"/>
      <c r="X147" s="11"/>
      <c r="Y147" s="25"/>
      <c r="Z147" s="11"/>
    </row>
    <row r="148" spans="1:26" x14ac:dyDescent="0.25">
      <c r="A148" s="8" t="str">
        <f>IF(AND(COUNTBLANK('Bid Sheet'!$R$148:$R$148)=1,COUNTBLANK('Bid Sheet'!$U$148:$U$148)=1,COUNTBLANK('Bid Sheet'!$W$148:$Z$148)=4),"",IF(OR(COUNTBLANK('Bid Sheet'!$R$148:$R$148)&gt;0,COUNTBLANK('Bid Sheet'!$X$148:$X$148)&gt;0, SUM(COUNTBLANK('Bid Sheet'!$D$3:$E$3), COUNTBLANK('Bid Sheet'!$D$4:$E$4), COUNTBLANK('Bid Sheet'!$D$5:$E$5), COUNTBLANK('Bid Sheet'!$D$6:$E$6), COUNTBLANK('Bid Sheet'!$D$7:$E$7))&gt;0), "No", "Yes"))</f>
        <v/>
      </c>
      <c r="B148" s="8"/>
      <c r="C148" s="8" t="s">
        <v>262</v>
      </c>
      <c r="D148" s="8" t="s">
        <v>488</v>
      </c>
      <c r="E148" s="8" t="s">
        <v>489</v>
      </c>
      <c r="F148" s="8" t="s">
        <v>490</v>
      </c>
      <c r="G148" s="8" t="s">
        <v>491</v>
      </c>
      <c r="H148" s="8" t="s">
        <v>492</v>
      </c>
      <c r="I148" s="8" t="s">
        <v>738</v>
      </c>
      <c r="J148" s="8" t="s">
        <v>739</v>
      </c>
      <c r="K148" s="8" t="s">
        <v>740</v>
      </c>
      <c r="L148" s="17">
        <v>552</v>
      </c>
      <c r="M148" s="8" t="s">
        <v>496</v>
      </c>
      <c r="N148" s="8" t="s">
        <v>497</v>
      </c>
      <c r="O148" s="17">
        <v>239</v>
      </c>
      <c r="P148" s="17">
        <v>83</v>
      </c>
      <c r="Q148" s="18">
        <v>6.9</v>
      </c>
      <c r="R148" s="19"/>
      <c r="S148" s="8" t="s">
        <v>66</v>
      </c>
      <c r="T148" s="8" t="s">
        <v>501</v>
      </c>
      <c r="U148" s="10"/>
      <c r="V148" s="8"/>
      <c r="W148" s="10"/>
      <c r="X148" s="9"/>
      <c r="Y148" s="20"/>
      <c r="Z148" s="9"/>
    </row>
    <row r="149" spans="1:26" x14ac:dyDescent="0.25">
      <c r="A149" s="21" t="str">
        <f>IF(AND(COUNTBLANK('Bid Sheet'!$R$149:$R$149)=1,COUNTBLANK('Bid Sheet'!$U$149:$U$149)=1,COUNTBLANK('Bid Sheet'!$W$149:$Z$149)=4),"",IF(OR(COUNTBLANK('Bid Sheet'!$R$149:$R$149)&gt;0,COUNTBLANK('Bid Sheet'!$X$149:$X$149)&gt;0, SUM(COUNTBLANK('Bid Sheet'!$D$3:$E$3), COUNTBLANK('Bid Sheet'!$D$4:$E$4), COUNTBLANK('Bid Sheet'!$D$5:$E$5), COUNTBLANK('Bid Sheet'!$D$6:$E$6), COUNTBLANK('Bid Sheet'!$D$7:$E$7))&gt;0), "No", "Yes"))</f>
        <v/>
      </c>
      <c r="B149" s="21"/>
      <c r="C149" s="21" t="s">
        <v>263</v>
      </c>
      <c r="D149" s="21" t="s">
        <v>488</v>
      </c>
      <c r="E149" s="21" t="s">
        <v>489</v>
      </c>
      <c r="F149" s="21" t="s">
        <v>502</v>
      </c>
      <c r="G149" s="21" t="s">
        <v>503</v>
      </c>
      <c r="H149" s="21" t="s">
        <v>504</v>
      </c>
      <c r="I149" s="21" t="s">
        <v>741</v>
      </c>
      <c r="J149" s="21" t="s">
        <v>742</v>
      </c>
      <c r="K149" s="21" t="s">
        <v>743</v>
      </c>
      <c r="L149" s="22">
        <v>472</v>
      </c>
      <c r="M149" s="21" t="s">
        <v>496</v>
      </c>
      <c r="N149" s="21" t="s">
        <v>497</v>
      </c>
      <c r="O149" s="22">
        <v>228</v>
      </c>
      <c r="P149" s="22">
        <v>110</v>
      </c>
      <c r="Q149" s="23">
        <v>9.1999999999999993</v>
      </c>
      <c r="R149" s="24"/>
      <c r="S149" s="21" t="s">
        <v>66</v>
      </c>
      <c r="T149" s="21" t="s">
        <v>501</v>
      </c>
      <c r="U149" s="12"/>
      <c r="V149" s="21"/>
      <c r="W149" s="12"/>
      <c r="X149" s="11"/>
      <c r="Y149" s="25"/>
      <c r="Z149" s="11"/>
    </row>
    <row r="150" spans="1:26" x14ac:dyDescent="0.25">
      <c r="A150" s="8" t="str">
        <f>IF(AND(COUNTBLANK('Bid Sheet'!$R$150:$R$150)=1,COUNTBLANK('Bid Sheet'!$U$150:$U$150)=1,COUNTBLANK('Bid Sheet'!$W$150:$Z$150)=4),"",IF(OR(COUNTBLANK('Bid Sheet'!$R$150:$R$150)&gt;0,COUNTBLANK('Bid Sheet'!$X$150:$X$150)&gt;0, SUM(COUNTBLANK('Bid Sheet'!$D$3:$E$3), COUNTBLANK('Bid Sheet'!$D$4:$E$4), COUNTBLANK('Bid Sheet'!$D$5:$E$5), COUNTBLANK('Bid Sheet'!$D$6:$E$6), COUNTBLANK('Bid Sheet'!$D$7:$E$7))&gt;0), "No", "Yes"))</f>
        <v/>
      </c>
      <c r="B150" s="8"/>
      <c r="C150" s="8" t="s">
        <v>264</v>
      </c>
      <c r="D150" s="8" t="s">
        <v>488</v>
      </c>
      <c r="E150" s="8" t="s">
        <v>489</v>
      </c>
      <c r="F150" s="8" t="s">
        <v>502</v>
      </c>
      <c r="G150" s="8" t="s">
        <v>503</v>
      </c>
      <c r="H150" s="8" t="s">
        <v>504</v>
      </c>
      <c r="I150" s="8" t="s">
        <v>744</v>
      </c>
      <c r="J150" s="8" t="s">
        <v>745</v>
      </c>
      <c r="K150" s="8" t="s">
        <v>743</v>
      </c>
      <c r="L150" s="17">
        <v>467</v>
      </c>
      <c r="M150" s="8" t="s">
        <v>496</v>
      </c>
      <c r="N150" s="8" t="s">
        <v>497</v>
      </c>
      <c r="O150" s="17">
        <v>229</v>
      </c>
      <c r="P150" s="17">
        <v>40</v>
      </c>
      <c r="Q150" s="18">
        <v>3.3</v>
      </c>
      <c r="R150" s="19"/>
      <c r="S150" s="8" t="s">
        <v>66</v>
      </c>
      <c r="T150" s="8"/>
      <c r="U150" s="10"/>
      <c r="V150" s="8"/>
      <c r="W150" s="10"/>
      <c r="X150" s="9"/>
      <c r="Y150" s="20"/>
      <c r="Z150" s="9"/>
    </row>
    <row r="151" spans="1:26" x14ac:dyDescent="0.25">
      <c r="A151" s="21" t="str">
        <f>IF(AND(COUNTBLANK('Bid Sheet'!$R$151:$R$151)=1,COUNTBLANK('Bid Sheet'!$U$151:$U$151)=1,COUNTBLANK('Bid Sheet'!$W$151:$Z$151)=4),"",IF(OR(COUNTBLANK('Bid Sheet'!$R$151:$R$151)&gt;0,COUNTBLANK('Bid Sheet'!$X$151:$X$151)&gt;0, SUM(COUNTBLANK('Bid Sheet'!$D$3:$E$3), COUNTBLANK('Bid Sheet'!$D$4:$E$4), COUNTBLANK('Bid Sheet'!$D$5:$E$5), COUNTBLANK('Bid Sheet'!$D$6:$E$6), COUNTBLANK('Bid Sheet'!$D$7:$E$7))&gt;0), "No", "Yes"))</f>
        <v/>
      </c>
      <c r="B151" s="21"/>
      <c r="C151" s="21" t="s">
        <v>265</v>
      </c>
      <c r="D151" s="21" t="s">
        <v>488</v>
      </c>
      <c r="E151" s="21" t="s">
        <v>489</v>
      </c>
      <c r="F151" s="21" t="s">
        <v>502</v>
      </c>
      <c r="G151" s="21" t="s">
        <v>503</v>
      </c>
      <c r="H151" s="21" t="s">
        <v>504</v>
      </c>
      <c r="I151" s="21" t="s">
        <v>746</v>
      </c>
      <c r="J151" s="21" t="s">
        <v>747</v>
      </c>
      <c r="K151" s="21" t="s">
        <v>743</v>
      </c>
      <c r="L151" s="22">
        <v>414</v>
      </c>
      <c r="M151" s="21" t="s">
        <v>496</v>
      </c>
      <c r="N151" s="21" t="s">
        <v>497</v>
      </c>
      <c r="O151" s="22">
        <v>205</v>
      </c>
      <c r="P151" s="22">
        <v>76</v>
      </c>
      <c r="Q151" s="23">
        <v>6.3</v>
      </c>
      <c r="R151" s="24"/>
      <c r="S151" s="21" t="s">
        <v>66</v>
      </c>
      <c r="T151" s="21" t="s">
        <v>501</v>
      </c>
      <c r="U151" s="12"/>
      <c r="V151" s="21"/>
      <c r="W151" s="12"/>
      <c r="X151" s="11"/>
      <c r="Y151" s="25"/>
      <c r="Z151" s="11"/>
    </row>
    <row r="152" spans="1:26" x14ac:dyDescent="0.25">
      <c r="A152" s="8" t="str">
        <f>IF(AND(COUNTBLANK('Bid Sheet'!$R$152:$R$152)=1,COUNTBLANK('Bid Sheet'!$U$152:$U$152)=1,COUNTBLANK('Bid Sheet'!$W$152:$Z$152)=4),"",IF(OR(COUNTBLANK('Bid Sheet'!$R$152:$R$152)&gt;0,COUNTBLANK('Bid Sheet'!$X$152:$X$152)&gt;0, SUM(COUNTBLANK('Bid Sheet'!$D$3:$E$3), COUNTBLANK('Bid Sheet'!$D$4:$E$4), COUNTBLANK('Bid Sheet'!$D$5:$E$5), COUNTBLANK('Bid Sheet'!$D$6:$E$6), COUNTBLANK('Bid Sheet'!$D$7:$E$7))&gt;0), "No", "Yes"))</f>
        <v/>
      </c>
      <c r="B152" s="8"/>
      <c r="C152" s="8" t="s">
        <v>266</v>
      </c>
      <c r="D152" s="8" t="s">
        <v>488</v>
      </c>
      <c r="E152" s="8" t="s">
        <v>489</v>
      </c>
      <c r="F152" s="8" t="s">
        <v>502</v>
      </c>
      <c r="G152" s="8" t="s">
        <v>503</v>
      </c>
      <c r="H152" s="8" t="s">
        <v>504</v>
      </c>
      <c r="I152" s="8" t="s">
        <v>748</v>
      </c>
      <c r="J152" s="8" t="s">
        <v>749</v>
      </c>
      <c r="K152" s="8" t="s">
        <v>743</v>
      </c>
      <c r="L152" s="17">
        <v>542</v>
      </c>
      <c r="M152" s="8" t="s">
        <v>496</v>
      </c>
      <c r="N152" s="8" t="s">
        <v>497</v>
      </c>
      <c r="O152" s="17">
        <v>278</v>
      </c>
      <c r="P152" s="17">
        <v>48</v>
      </c>
      <c r="Q152" s="18">
        <v>4</v>
      </c>
      <c r="R152" s="19"/>
      <c r="S152" s="8" t="s">
        <v>66</v>
      </c>
      <c r="T152" s="8"/>
      <c r="U152" s="10"/>
      <c r="V152" s="8"/>
      <c r="W152" s="10"/>
      <c r="X152" s="9"/>
      <c r="Y152" s="20"/>
      <c r="Z152" s="9"/>
    </row>
    <row r="153" spans="1:26" x14ac:dyDescent="0.25">
      <c r="A153" s="21" t="str">
        <f>IF(AND(COUNTBLANK('Bid Sheet'!$R$153:$R$153)=1,COUNTBLANK('Bid Sheet'!$U$153:$U$153)=1,COUNTBLANK('Bid Sheet'!$W$153:$Z$153)=4),"",IF(OR(COUNTBLANK('Bid Sheet'!$R$153:$R$153)&gt;0,COUNTBLANK('Bid Sheet'!$X$153:$X$153)&gt;0, SUM(COUNTBLANK('Bid Sheet'!$D$3:$E$3), COUNTBLANK('Bid Sheet'!$D$4:$E$4), COUNTBLANK('Bid Sheet'!$D$5:$E$5), COUNTBLANK('Bid Sheet'!$D$6:$E$6), COUNTBLANK('Bid Sheet'!$D$7:$E$7))&gt;0), "No", "Yes"))</f>
        <v/>
      </c>
      <c r="B153" s="21"/>
      <c r="C153" s="21" t="s">
        <v>267</v>
      </c>
      <c r="D153" s="21" t="s">
        <v>488</v>
      </c>
      <c r="E153" s="21" t="s">
        <v>489</v>
      </c>
      <c r="F153" s="21" t="s">
        <v>490</v>
      </c>
      <c r="G153" s="21" t="s">
        <v>491</v>
      </c>
      <c r="H153" s="21" t="s">
        <v>492</v>
      </c>
      <c r="I153" s="21" t="s">
        <v>746</v>
      </c>
      <c r="J153" s="21" t="s">
        <v>747</v>
      </c>
      <c r="K153" s="21" t="s">
        <v>743</v>
      </c>
      <c r="L153" s="22">
        <v>1109</v>
      </c>
      <c r="M153" s="21" t="s">
        <v>496</v>
      </c>
      <c r="N153" s="21" t="s">
        <v>497</v>
      </c>
      <c r="O153" s="22">
        <v>492</v>
      </c>
      <c r="P153" s="22">
        <v>22</v>
      </c>
      <c r="Q153" s="23">
        <v>1.8</v>
      </c>
      <c r="R153" s="24"/>
      <c r="S153" s="21" t="s">
        <v>66</v>
      </c>
      <c r="T153" s="21" t="s">
        <v>501</v>
      </c>
      <c r="U153" s="12"/>
      <c r="V153" s="21"/>
      <c r="W153" s="12"/>
      <c r="X153" s="11"/>
      <c r="Y153" s="25"/>
      <c r="Z153" s="11"/>
    </row>
    <row r="154" spans="1:26" x14ac:dyDescent="0.25">
      <c r="A154" s="8" t="str">
        <f>IF(AND(COUNTBLANK('Bid Sheet'!$R$154:$R$154)=1,COUNTBLANK('Bid Sheet'!$U$154:$U$154)=1,COUNTBLANK('Bid Sheet'!$W$154:$Z$154)=4),"",IF(OR(COUNTBLANK('Bid Sheet'!$R$154:$R$154)&gt;0,COUNTBLANK('Bid Sheet'!$X$154:$X$154)&gt;0, SUM(COUNTBLANK('Bid Sheet'!$D$3:$E$3), COUNTBLANK('Bid Sheet'!$D$4:$E$4), COUNTBLANK('Bid Sheet'!$D$5:$E$5), COUNTBLANK('Bid Sheet'!$D$6:$E$6), COUNTBLANK('Bid Sheet'!$D$7:$E$7))&gt;0), "No", "Yes"))</f>
        <v/>
      </c>
      <c r="B154" s="8"/>
      <c r="C154" s="8" t="s">
        <v>268</v>
      </c>
      <c r="D154" s="8" t="s">
        <v>488</v>
      </c>
      <c r="E154" s="8" t="s">
        <v>489</v>
      </c>
      <c r="F154" s="8" t="s">
        <v>490</v>
      </c>
      <c r="G154" s="8" t="s">
        <v>491</v>
      </c>
      <c r="H154" s="8" t="s">
        <v>492</v>
      </c>
      <c r="I154" s="8" t="s">
        <v>750</v>
      </c>
      <c r="J154" s="8" t="s">
        <v>751</v>
      </c>
      <c r="K154" s="8" t="s">
        <v>743</v>
      </c>
      <c r="L154" s="17">
        <v>1038</v>
      </c>
      <c r="M154" s="8" t="s">
        <v>496</v>
      </c>
      <c r="N154" s="8" t="s">
        <v>497</v>
      </c>
      <c r="O154" s="17">
        <v>456</v>
      </c>
      <c r="P154" s="17">
        <v>26</v>
      </c>
      <c r="Q154" s="18">
        <v>2.2000000000000002</v>
      </c>
      <c r="R154" s="19"/>
      <c r="S154" s="8" t="s">
        <v>66</v>
      </c>
      <c r="T154" s="8"/>
      <c r="U154" s="10"/>
      <c r="V154" s="8"/>
      <c r="W154" s="10"/>
      <c r="X154" s="9"/>
      <c r="Y154" s="20"/>
      <c r="Z154" s="9"/>
    </row>
    <row r="155" spans="1:26" x14ac:dyDescent="0.25">
      <c r="A155" s="21" t="str">
        <f>IF(AND(COUNTBLANK('Bid Sheet'!$R$155:$R$155)=1,COUNTBLANK('Bid Sheet'!$U$155:$U$155)=1,COUNTBLANK('Bid Sheet'!$W$155:$Z$155)=4),"",IF(OR(COUNTBLANK('Bid Sheet'!$R$155:$R$155)&gt;0,COUNTBLANK('Bid Sheet'!$X$155:$X$155)&gt;0, SUM(COUNTBLANK('Bid Sheet'!$D$3:$E$3), COUNTBLANK('Bid Sheet'!$D$4:$E$4), COUNTBLANK('Bid Sheet'!$D$5:$E$5), COUNTBLANK('Bid Sheet'!$D$6:$E$6), COUNTBLANK('Bid Sheet'!$D$7:$E$7))&gt;0), "No", "Yes"))</f>
        <v/>
      </c>
      <c r="B155" s="21"/>
      <c r="C155" s="21" t="s">
        <v>269</v>
      </c>
      <c r="D155" s="21" t="s">
        <v>488</v>
      </c>
      <c r="E155" s="21" t="s">
        <v>489</v>
      </c>
      <c r="F155" s="21" t="s">
        <v>490</v>
      </c>
      <c r="G155" s="21" t="s">
        <v>491</v>
      </c>
      <c r="H155" s="21" t="s">
        <v>492</v>
      </c>
      <c r="I155" s="21" t="s">
        <v>752</v>
      </c>
      <c r="J155" s="21" t="s">
        <v>753</v>
      </c>
      <c r="K155" s="21" t="s">
        <v>743</v>
      </c>
      <c r="L155" s="22">
        <v>1006</v>
      </c>
      <c r="M155" s="21" t="s">
        <v>496</v>
      </c>
      <c r="N155" s="21" t="s">
        <v>497</v>
      </c>
      <c r="O155" s="22">
        <v>455</v>
      </c>
      <c r="P155" s="22">
        <v>60</v>
      </c>
      <c r="Q155" s="23">
        <v>5</v>
      </c>
      <c r="R155" s="24"/>
      <c r="S155" s="21" t="s">
        <v>66</v>
      </c>
      <c r="T155" s="21"/>
      <c r="U155" s="12"/>
      <c r="V155" s="21"/>
      <c r="W155" s="12"/>
      <c r="X155" s="11"/>
      <c r="Y155" s="25"/>
      <c r="Z155" s="11"/>
    </row>
    <row r="156" spans="1:26" x14ac:dyDescent="0.25">
      <c r="A156" s="8" t="str">
        <f>IF(AND(COUNTBLANK('Bid Sheet'!$R$156:$R$156)=1,COUNTBLANK('Bid Sheet'!$U$156:$U$156)=1,COUNTBLANK('Bid Sheet'!$W$156:$Z$156)=4),"",IF(OR(COUNTBLANK('Bid Sheet'!$R$156:$R$156)&gt;0,COUNTBLANK('Bid Sheet'!$X$156:$X$156)&gt;0, SUM(COUNTBLANK('Bid Sheet'!$D$3:$E$3), COUNTBLANK('Bid Sheet'!$D$4:$E$4), COUNTBLANK('Bid Sheet'!$D$5:$E$5), COUNTBLANK('Bid Sheet'!$D$6:$E$6), COUNTBLANK('Bid Sheet'!$D$7:$E$7))&gt;0), "No", "Yes"))</f>
        <v/>
      </c>
      <c r="B156" s="8"/>
      <c r="C156" s="8" t="s">
        <v>270</v>
      </c>
      <c r="D156" s="8" t="s">
        <v>488</v>
      </c>
      <c r="E156" s="8" t="s">
        <v>489</v>
      </c>
      <c r="F156" s="8" t="s">
        <v>490</v>
      </c>
      <c r="G156" s="8" t="s">
        <v>491</v>
      </c>
      <c r="H156" s="8" t="s">
        <v>492</v>
      </c>
      <c r="I156" s="8" t="s">
        <v>754</v>
      </c>
      <c r="J156" s="8" t="s">
        <v>755</v>
      </c>
      <c r="K156" s="8" t="s">
        <v>743</v>
      </c>
      <c r="L156" s="17">
        <v>1121</v>
      </c>
      <c r="M156" s="8" t="s">
        <v>496</v>
      </c>
      <c r="N156" s="8" t="s">
        <v>497</v>
      </c>
      <c r="O156" s="17">
        <v>502</v>
      </c>
      <c r="P156" s="17">
        <v>60</v>
      </c>
      <c r="Q156" s="18">
        <v>5</v>
      </c>
      <c r="R156" s="19"/>
      <c r="S156" s="8" t="s">
        <v>66</v>
      </c>
      <c r="T156" s="8"/>
      <c r="U156" s="10"/>
      <c r="V156" s="8"/>
      <c r="W156" s="10"/>
      <c r="X156" s="9"/>
      <c r="Y156" s="20"/>
      <c r="Z156" s="9"/>
    </row>
    <row r="157" spans="1:26" x14ac:dyDescent="0.25">
      <c r="A157" s="21" t="str">
        <f>IF(AND(COUNTBLANK('Bid Sheet'!$R$157:$R$157)=1,COUNTBLANK('Bid Sheet'!$U$157:$U$157)=1,COUNTBLANK('Bid Sheet'!$W$157:$Z$157)=4),"",IF(OR(COUNTBLANK('Bid Sheet'!$R$157:$R$157)&gt;0,COUNTBLANK('Bid Sheet'!$X$157:$X$157)&gt;0, SUM(COUNTBLANK('Bid Sheet'!$D$3:$E$3), COUNTBLANK('Bid Sheet'!$D$4:$E$4), COUNTBLANK('Bid Sheet'!$D$5:$E$5), COUNTBLANK('Bid Sheet'!$D$6:$E$6), COUNTBLANK('Bid Sheet'!$D$7:$E$7))&gt;0), "No", "Yes"))</f>
        <v/>
      </c>
      <c r="B157" s="21"/>
      <c r="C157" s="21" t="s">
        <v>271</v>
      </c>
      <c r="D157" s="21" t="s">
        <v>488</v>
      </c>
      <c r="E157" s="21" t="s">
        <v>489</v>
      </c>
      <c r="F157" s="21" t="s">
        <v>490</v>
      </c>
      <c r="G157" s="21" t="s">
        <v>491</v>
      </c>
      <c r="H157" s="21" t="s">
        <v>492</v>
      </c>
      <c r="I157" s="21" t="s">
        <v>756</v>
      </c>
      <c r="J157" s="21" t="s">
        <v>757</v>
      </c>
      <c r="K157" s="21" t="s">
        <v>743</v>
      </c>
      <c r="L157" s="22">
        <v>891</v>
      </c>
      <c r="M157" s="21" t="s">
        <v>496</v>
      </c>
      <c r="N157" s="21" t="s">
        <v>497</v>
      </c>
      <c r="O157" s="22">
        <v>389</v>
      </c>
      <c r="P157" s="22">
        <v>24</v>
      </c>
      <c r="Q157" s="23">
        <v>2</v>
      </c>
      <c r="R157" s="24"/>
      <c r="S157" s="21" t="s">
        <v>66</v>
      </c>
      <c r="T157" s="21"/>
      <c r="U157" s="12"/>
      <c r="V157" s="21"/>
      <c r="W157" s="12"/>
      <c r="X157" s="11"/>
      <c r="Y157" s="25"/>
      <c r="Z157" s="11"/>
    </row>
    <row r="158" spans="1:26" x14ac:dyDescent="0.25">
      <c r="A158" s="8" t="str">
        <f>IF(AND(COUNTBLANK('Bid Sheet'!$R$158:$R$158)=1,COUNTBLANK('Bid Sheet'!$U$158:$U$158)=1,COUNTBLANK('Bid Sheet'!$W$158:$Z$158)=4),"",IF(OR(COUNTBLANK('Bid Sheet'!$R$158:$R$158)&gt;0,COUNTBLANK('Bid Sheet'!$X$158:$X$158)&gt;0, SUM(COUNTBLANK('Bid Sheet'!$D$3:$E$3), COUNTBLANK('Bid Sheet'!$D$4:$E$4), COUNTBLANK('Bid Sheet'!$D$5:$E$5), COUNTBLANK('Bid Sheet'!$D$6:$E$6), COUNTBLANK('Bid Sheet'!$D$7:$E$7))&gt;0), "No", "Yes"))</f>
        <v/>
      </c>
      <c r="B158" s="8"/>
      <c r="C158" s="8" t="s">
        <v>272</v>
      </c>
      <c r="D158" s="8" t="s">
        <v>488</v>
      </c>
      <c r="E158" s="8" t="s">
        <v>489</v>
      </c>
      <c r="F158" s="8" t="s">
        <v>490</v>
      </c>
      <c r="G158" s="8" t="s">
        <v>491</v>
      </c>
      <c r="H158" s="8" t="s">
        <v>492</v>
      </c>
      <c r="I158" s="8" t="s">
        <v>758</v>
      </c>
      <c r="J158" s="8" t="s">
        <v>759</v>
      </c>
      <c r="K158" s="8" t="s">
        <v>760</v>
      </c>
      <c r="L158" s="17">
        <v>632</v>
      </c>
      <c r="M158" s="8" t="s">
        <v>496</v>
      </c>
      <c r="N158" s="8" t="s">
        <v>497</v>
      </c>
      <c r="O158" s="17">
        <v>268</v>
      </c>
      <c r="P158" s="17">
        <v>10</v>
      </c>
      <c r="Q158" s="18">
        <v>0.8</v>
      </c>
      <c r="R158" s="19"/>
      <c r="S158" s="8" t="s">
        <v>66</v>
      </c>
      <c r="T158" s="8"/>
      <c r="U158" s="10"/>
      <c r="V158" s="8"/>
      <c r="W158" s="10"/>
      <c r="X158" s="9"/>
      <c r="Y158" s="20"/>
      <c r="Z158" s="9"/>
    </row>
    <row r="159" spans="1:26" x14ac:dyDescent="0.25">
      <c r="A159" s="21" t="str">
        <f>IF(AND(COUNTBLANK('Bid Sheet'!$R$159:$R$159)=1,COUNTBLANK('Bid Sheet'!$U$159:$U$159)=1,COUNTBLANK('Bid Sheet'!$W$159:$Z$159)=4),"",IF(OR(COUNTBLANK('Bid Sheet'!$R$159:$R$159)&gt;0,COUNTBLANK('Bid Sheet'!$X$159:$X$159)&gt;0, SUM(COUNTBLANK('Bid Sheet'!$D$3:$E$3), COUNTBLANK('Bid Sheet'!$D$4:$E$4), COUNTBLANK('Bid Sheet'!$D$5:$E$5), COUNTBLANK('Bid Sheet'!$D$6:$E$6), COUNTBLANK('Bid Sheet'!$D$7:$E$7))&gt;0), "No", "Yes"))</f>
        <v/>
      </c>
      <c r="B159" s="21"/>
      <c r="C159" s="21" t="s">
        <v>273</v>
      </c>
      <c r="D159" s="21" t="s">
        <v>488</v>
      </c>
      <c r="E159" s="21" t="s">
        <v>489</v>
      </c>
      <c r="F159" s="21" t="s">
        <v>490</v>
      </c>
      <c r="G159" s="21" t="s">
        <v>491</v>
      </c>
      <c r="H159" s="21" t="s">
        <v>492</v>
      </c>
      <c r="I159" s="21" t="s">
        <v>761</v>
      </c>
      <c r="J159" s="21" t="s">
        <v>762</v>
      </c>
      <c r="K159" s="21" t="s">
        <v>763</v>
      </c>
      <c r="L159" s="22">
        <v>244</v>
      </c>
      <c r="M159" s="21" t="s">
        <v>496</v>
      </c>
      <c r="N159" s="21" t="s">
        <v>497</v>
      </c>
      <c r="O159" s="22">
        <v>102</v>
      </c>
      <c r="P159" s="22">
        <v>40</v>
      </c>
      <c r="Q159" s="23">
        <v>3.3</v>
      </c>
      <c r="R159" s="24"/>
      <c r="S159" s="21" t="s">
        <v>66</v>
      </c>
      <c r="T159" s="21"/>
      <c r="U159" s="12"/>
      <c r="V159" s="21"/>
      <c r="W159" s="12"/>
      <c r="X159" s="11"/>
      <c r="Y159" s="25"/>
      <c r="Z159" s="11"/>
    </row>
    <row r="160" spans="1:26" x14ac:dyDescent="0.25">
      <c r="A160" s="8" t="str">
        <f>IF(AND(COUNTBLANK('Bid Sheet'!$R$160:$R$160)=1,COUNTBLANK('Bid Sheet'!$U$160:$U$160)=1,COUNTBLANK('Bid Sheet'!$W$160:$Z$160)=4),"",IF(OR(COUNTBLANK('Bid Sheet'!$R$160:$R$160)&gt;0,COUNTBLANK('Bid Sheet'!$X$160:$X$160)&gt;0, SUM(COUNTBLANK('Bid Sheet'!$D$3:$E$3), COUNTBLANK('Bid Sheet'!$D$4:$E$4), COUNTBLANK('Bid Sheet'!$D$5:$E$5), COUNTBLANK('Bid Sheet'!$D$6:$E$6), COUNTBLANK('Bid Sheet'!$D$7:$E$7))&gt;0), "No", "Yes"))</f>
        <v/>
      </c>
      <c r="B160" s="8"/>
      <c r="C160" s="8" t="s">
        <v>274</v>
      </c>
      <c r="D160" s="8" t="s">
        <v>488</v>
      </c>
      <c r="E160" s="8" t="s">
        <v>489</v>
      </c>
      <c r="F160" s="8" t="s">
        <v>490</v>
      </c>
      <c r="G160" s="8" t="s">
        <v>491</v>
      </c>
      <c r="H160" s="8" t="s">
        <v>492</v>
      </c>
      <c r="I160" s="8" t="s">
        <v>764</v>
      </c>
      <c r="J160" s="8" t="s">
        <v>765</v>
      </c>
      <c r="K160" s="8" t="s">
        <v>763</v>
      </c>
      <c r="L160" s="17">
        <v>221</v>
      </c>
      <c r="M160" s="8" t="s">
        <v>496</v>
      </c>
      <c r="N160" s="8" t="s">
        <v>497</v>
      </c>
      <c r="O160" s="17">
        <v>93</v>
      </c>
      <c r="P160" s="17">
        <v>13</v>
      </c>
      <c r="Q160" s="18">
        <v>1.1000000000000001</v>
      </c>
      <c r="R160" s="19"/>
      <c r="S160" s="8" t="s">
        <v>66</v>
      </c>
      <c r="T160" s="8"/>
      <c r="U160" s="10"/>
      <c r="V160" s="8"/>
      <c r="W160" s="10"/>
      <c r="X160" s="9"/>
      <c r="Y160" s="20"/>
      <c r="Z160" s="9"/>
    </row>
    <row r="161" spans="1:26" x14ac:dyDescent="0.25">
      <c r="A161" s="21" t="str">
        <f>IF(AND(COUNTBLANK('Bid Sheet'!$R$161:$R$161)=1,COUNTBLANK('Bid Sheet'!$U$161:$U$161)=1,COUNTBLANK('Bid Sheet'!$W$161:$Z$161)=4),"",IF(OR(COUNTBLANK('Bid Sheet'!$R$161:$R$161)&gt;0,COUNTBLANK('Bid Sheet'!$X$161:$X$161)&gt;0, SUM(COUNTBLANK('Bid Sheet'!$D$3:$E$3), COUNTBLANK('Bid Sheet'!$D$4:$E$4), COUNTBLANK('Bid Sheet'!$D$5:$E$5), COUNTBLANK('Bid Sheet'!$D$6:$E$6), COUNTBLANK('Bid Sheet'!$D$7:$E$7))&gt;0), "No", "Yes"))</f>
        <v/>
      </c>
      <c r="B161" s="21"/>
      <c r="C161" s="21" t="s">
        <v>275</v>
      </c>
      <c r="D161" s="21" t="s">
        <v>488</v>
      </c>
      <c r="E161" s="21" t="s">
        <v>489</v>
      </c>
      <c r="F161" s="21" t="s">
        <v>490</v>
      </c>
      <c r="G161" s="21" t="s">
        <v>491</v>
      </c>
      <c r="H161" s="21" t="s">
        <v>492</v>
      </c>
      <c r="I161" s="21" t="s">
        <v>766</v>
      </c>
      <c r="J161" s="21" t="s">
        <v>767</v>
      </c>
      <c r="K161" s="21" t="s">
        <v>763</v>
      </c>
      <c r="L161" s="22">
        <v>453</v>
      </c>
      <c r="M161" s="21" t="s">
        <v>496</v>
      </c>
      <c r="N161" s="21" t="s">
        <v>497</v>
      </c>
      <c r="O161" s="22">
        <v>186</v>
      </c>
      <c r="P161" s="22">
        <v>100</v>
      </c>
      <c r="Q161" s="23">
        <v>8.3000000000000007</v>
      </c>
      <c r="R161" s="24"/>
      <c r="S161" s="21" t="s">
        <v>66</v>
      </c>
      <c r="T161" s="21" t="s">
        <v>501</v>
      </c>
      <c r="U161" s="12"/>
      <c r="V161" s="21"/>
      <c r="W161" s="12"/>
      <c r="X161" s="11"/>
      <c r="Y161" s="25"/>
      <c r="Z161" s="11"/>
    </row>
    <row r="162" spans="1:26" x14ac:dyDescent="0.25">
      <c r="A162" s="8" t="str">
        <f>IF(AND(COUNTBLANK('Bid Sheet'!$R$162:$R$162)=1,COUNTBLANK('Bid Sheet'!$U$162:$U$162)=1,COUNTBLANK('Bid Sheet'!$W$162:$Z$162)=4),"",IF(OR(COUNTBLANK('Bid Sheet'!$R$162:$R$162)&gt;0,COUNTBLANK('Bid Sheet'!$X$162:$X$162)&gt;0, SUM(COUNTBLANK('Bid Sheet'!$D$3:$E$3), COUNTBLANK('Bid Sheet'!$D$4:$E$4), COUNTBLANK('Bid Sheet'!$D$5:$E$5), COUNTBLANK('Bid Sheet'!$D$6:$E$6), COUNTBLANK('Bid Sheet'!$D$7:$E$7))&gt;0), "No", "Yes"))</f>
        <v/>
      </c>
      <c r="B162" s="8"/>
      <c r="C162" s="8" t="s">
        <v>276</v>
      </c>
      <c r="D162" s="8" t="s">
        <v>488</v>
      </c>
      <c r="E162" s="8" t="s">
        <v>489</v>
      </c>
      <c r="F162" s="8" t="s">
        <v>502</v>
      </c>
      <c r="G162" s="8" t="s">
        <v>503</v>
      </c>
      <c r="H162" s="8" t="s">
        <v>504</v>
      </c>
      <c r="I162" s="8" t="s">
        <v>768</v>
      </c>
      <c r="J162" s="8" t="s">
        <v>769</v>
      </c>
      <c r="K162" s="8" t="s">
        <v>770</v>
      </c>
      <c r="L162" s="17">
        <v>123</v>
      </c>
      <c r="M162" s="8" t="s">
        <v>496</v>
      </c>
      <c r="N162" s="8" t="s">
        <v>497</v>
      </c>
      <c r="O162" s="17">
        <v>68</v>
      </c>
      <c r="P162" s="17">
        <v>28</v>
      </c>
      <c r="Q162" s="18">
        <v>2.2999999999999998</v>
      </c>
      <c r="R162" s="19"/>
      <c r="S162" s="8" t="s">
        <v>66</v>
      </c>
      <c r="T162" s="8"/>
      <c r="U162" s="10"/>
      <c r="V162" s="8"/>
      <c r="W162" s="10"/>
      <c r="X162" s="9"/>
      <c r="Y162" s="20"/>
      <c r="Z162" s="9"/>
    </row>
    <row r="163" spans="1:26" x14ac:dyDescent="0.25">
      <c r="A163" s="21" t="str">
        <f>IF(AND(COUNTBLANK('Bid Sheet'!$R$163:$R$163)=1,COUNTBLANK('Bid Sheet'!$U$163:$U$163)=1,COUNTBLANK('Bid Sheet'!$W$163:$Z$163)=4),"",IF(OR(COUNTBLANK('Bid Sheet'!$R$163:$R$163)&gt;0,COUNTBLANK('Bid Sheet'!$X$163:$X$163)&gt;0, SUM(COUNTBLANK('Bid Sheet'!$D$3:$E$3), COUNTBLANK('Bid Sheet'!$D$4:$E$4), COUNTBLANK('Bid Sheet'!$D$5:$E$5), COUNTBLANK('Bid Sheet'!$D$6:$E$6), COUNTBLANK('Bid Sheet'!$D$7:$E$7))&gt;0), "No", "Yes"))</f>
        <v/>
      </c>
      <c r="B163" s="21"/>
      <c r="C163" s="21" t="s">
        <v>277</v>
      </c>
      <c r="D163" s="21" t="s">
        <v>488</v>
      </c>
      <c r="E163" s="21" t="s">
        <v>489</v>
      </c>
      <c r="F163" s="21" t="s">
        <v>502</v>
      </c>
      <c r="G163" s="21" t="s">
        <v>503</v>
      </c>
      <c r="H163" s="21" t="s">
        <v>504</v>
      </c>
      <c r="I163" s="21" t="s">
        <v>771</v>
      </c>
      <c r="J163" s="21" t="s">
        <v>772</v>
      </c>
      <c r="K163" s="21" t="s">
        <v>770</v>
      </c>
      <c r="L163" s="22">
        <v>137</v>
      </c>
      <c r="M163" s="21" t="s">
        <v>496</v>
      </c>
      <c r="N163" s="21" t="s">
        <v>497</v>
      </c>
      <c r="O163" s="22">
        <v>73</v>
      </c>
      <c r="P163" s="22">
        <v>50</v>
      </c>
      <c r="Q163" s="23">
        <v>4.2</v>
      </c>
      <c r="R163" s="24"/>
      <c r="S163" s="21" t="s">
        <v>66</v>
      </c>
      <c r="T163" s="21"/>
      <c r="U163" s="12"/>
      <c r="V163" s="21"/>
      <c r="W163" s="12"/>
      <c r="X163" s="11"/>
      <c r="Y163" s="25"/>
      <c r="Z163" s="11"/>
    </row>
    <row r="164" spans="1:26" x14ac:dyDescent="0.25">
      <c r="A164" s="8" t="str">
        <f>IF(AND(COUNTBLANK('Bid Sheet'!$R$164:$R$164)=1,COUNTBLANK('Bid Sheet'!$U$164:$U$164)=1,COUNTBLANK('Bid Sheet'!$W$164:$Z$164)=4),"",IF(OR(COUNTBLANK('Bid Sheet'!$R$164:$R$164)&gt;0,COUNTBLANK('Bid Sheet'!$X$164:$X$164)&gt;0, SUM(COUNTBLANK('Bid Sheet'!$D$3:$E$3), COUNTBLANK('Bid Sheet'!$D$4:$E$4), COUNTBLANK('Bid Sheet'!$D$5:$E$5), COUNTBLANK('Bid Sheet'!$D$6:$E$6), COUNTBLANK('Bid Sheet'!$D$7:$E$7))&gt;0), "No", "Yes"))</f>
        <v/>
      </c>
      <c r="B164" s="8"/>
      <c r="C164" s="8" t="s">
        <v>278</v>
      </c>
      <c r="D164" s="8" t="s">
        <v>488</v>
      </c>
      <c r="E164" s="8" t="s">
        <v>489</v>
      </c>
      <c r="F164" s="8" t="s">
        <v>490</v>
      </c>
      <c r="G164" s="8" t="s">
        <v>491</v>
      </c>
      <c r="H164" s="8" t="s">
        <v>492</v>
      </c>
      <c r="I164" s="8" t="s">
        <v>773</v>
      </c>
      <c r="J164" s="8" t="s">
        <v>774</v>
      </c>
      <c r="K164" s="8" t="s">
        <v>770</v>
      </c>
      <c r="L164" s="17">
        <v>1206</v>
      </c>
      <c r="M164" s="8" t="s">
        <v>496</v>
      </c>
      <c r="N164" s="8" t="s">
        <v>497</v>
      </c>
      <c r="O164" s="17">
        <v>588</v>
      </c>
      <c r="P164" s="17">
        <v>21</v>
      </c>
      <c r="Q164" s="18">
        <v>1.8</v>
      </c>
      <c r="R164" s="19"/>
      <c r="S164" s="8" t="s">
        <v>66</v>
      </c>
      <c r="T164" s="8"/>
      <c r="U164" s="10"/>
      <c r="V164" s="8"/>
      <c r="W164" s="10"/>
      <c r="X164" s="9"/>
      <c r="Y164" s="20"/>
      <c r="Z164" s="9"/>
    </row>
    <row r="165" spans="1:26" x14ac:dyDescent="0.25">
      <c r="A165" s="21" t="str">
        <f>IF(AND(COUNTBLANK('Bid Sheet'!$R$165:$R$165)=1,COUNTBLANK('Bid Sheet'!$U$165:$U$165)=1,COUNTBLANK('Bid Sheet'!$W$165:$Z$165)=4),"",IF(OR(COUNTBLANK('Bid Sheet'!$R$165:$R$165)&gt;0,COUNTBLANK('Bid Sheet'!$X$165:$X$165)&gt;0, SUM(COUNTBLANK('Bid Sheet'!$D$3:$E$3), COUNTBLANK('Bid Sheet'!$D$4:$E$4), COUNTBLANK('Bid Sheet'!$D$5:$E$5), COUNTBLANK('Bid Sheet'!$D$6:$E$6), COUNTBLANK('Bid Sheet'!$D$7:$E$7))&gt;0), "No", "Yes"))</f>
        <v/>
      </c>
      <c r="B165" s="21"/>
      <c r="C165" s="21" t="s">
        <v>279</v>
      </c>
      <c r="D165" s="21" t="s">
        <v>488</v>
      </c>
      <c r="E165" s="21" t="s">
        <v>489</v>
      </c>
      <c r="F165" s="21" t="s">
        <v>490</v>
      </c>
      <c r="G165" s="21" t="s">
        <v>491</v>
      </c>
      <c r="H165" s="21" t="s">
        <v>492</v>
      </c>
      <c r="I165" s="21" t="s">
        <v>775</v>
      </c>
      <c r="J165" s="21" t="s">
        <v>776</v>
      </c>
      <c r="K165" s="21" t="s">
        <v>777</v>
      </c>
      <c r="L165" s="22">
        <v>777</v>
      </c>
      <c r="M165" s="21" t="s">
        <v>496</v>
      </c>
      <c r="N165" s="21" t="s">
        <v>497</v>
      </c>
      <c r="O165" s="22">
        <v>339</v>
      </c>
      <c r="P165" s="22">
        <v>110</v>
      </c>
      <c r="Q165" s="23">
        <v>9.1999999999999993</v>
      </c>
      <c r="R165" s="24"/>
      <c r="S165" s="21" t="s">
        <v>66</v>
      </c>
      <c r="T165" s="21" t="s">
        <v>501</v>
      </c>
      <c r="U165" s="12"/>
      <c r="V165" s="21"/>
      <c r="W165" s="12"/>
      <c r="X165" s="11"/>
      <c r="Y165" s="25"/>
      <c r="Z165" s="11"/>
    </row>
    <row r="166" spans="1:26" x14ac:dyDescent="0.25">
      <c r="A166" s="8" t="str">
        <f>IF(AND(COUNTBLANK('Bid Sheet'!$R$166:$R$166)=1,COUNTBLANK('Bid Sheet'!$U$166:$U$166)=1,COUNTBLANK('Bid Sheet'!$W$166:$Z$166)=4),"",IF(OR(COUNTBLANK('Bid Sheet'!$R$166:$R$166)&gt;0,COUNTBLANK('Bid Sheet'!$X$166:$X$166)&gt;0, SUM(COUNTBLANK('Bid Sheet'!$D$3:$E$3), COUNTBLANK('Bid Sheet'!$D$4:$E$4), COUNTBLANK('Bid Sheet'!$D$5:$E$5), COUNTBLANK('Bid Sheet'!$D$6:$E$6), COUNTBLANK('Bid Sheet'!$D$7:$E$7))&gt;0), "No", "Yes"))</f>
        <v/>
      </c>
      <c r="B166" s="8"/>
      <c r="C166" s="8" t="s">
        <v>280</v>
      </c>
      <c r="D166" s="8" t="s">
        <v>488</v>
      </c>
      <c r="E166" s="8" t="s">
        <v>489</v>
      </c>
      <c r="F166" s="8" t="s">
        <v>490</v>
      </c>
      <c r="G166" s="8" t="s">
        <v>491</v>
      </c>
      <c r="H166" s="8" t="s">
        <v>492</v>
      </c>
      <c r="I166" s="8" t="s">
        <v>778</v>
      </c>
      <c r="J166" s="8" t="s">
        <v>779</v>
      </c>
      <c r="K166" s="8" t="s">
        <v>780</v>
      </c>
      <c r="L166" s="17">
        <v>1362</v>
      </c>
      <c r="M166" s="8" t="s">
        <v>496</v>
      </c>
      <c r="N166" s="8" t="s">
        <v>497</v>
      </c>
      <c r="O166" s="17">
        <v>611</v>
      </c>
      <c r="P166" s="17">
        <v>16</v>
      </c>
      <c r="Q166" s="18">
        <v>1.3</v>
      </c>
      <c r="R166" s="19"/>
      <c r="S166" s="8" t="s">
        <v>66</v>
      </c>
      <c r="T166" s="8"/>
      <c r="U166" s="10"/>
      <c r="V166" s="8"/>
      <c r="W166" s="10"/>
      <c r="X166" s="9"/>
      <c r="Y166" s="20"/>
      <c r="Z166" s="9"/>
    </row>
    <row r="167" spans="1:26" x14ac:dyDescent="0.25">
      <c r="A167" s="21" t="str">
        <f>IF(AND(COUNTBLANK('Bid Sheet'!$R$167:$R$167)=1,COUNTBLANK('Bid Sheet'!$U$167:$U$167)=1,COUNTBLANK('Bid Sheet'!$W$167:$Z$167)=4),"",IF(OR(COUNTBLANK('Bid Sheet'!$R$167:$R$167)&gt;0,COUNTBLANK('Bid Sheet'!$X$167:$X$167)&gt;0, SUM(COUNTBLANK('Bid Sheet'!$D$3:$E$3), COUNTBLANK('Bid Sheet'!$D$4:$E$4), COUNTBLANK('Bid Sheet'!$D$5:$E$5), COUNTBLANK('Bid Sheet'!$D$6:$E$6), COUNTBLANK('Bid Sheet'!$D$7:$E$7))&gt;0), "No", "Yes"))</f>
        <v/>
      </c>
      <c r="B167" s="21"/>
      <c r="C167" s="21" t="s">
        <v>281</v>
      </c>
      <c r="D167" s="21" t="s">
        <v>488</v>
      </c>
      <c r="E167" s="21" t="s">
        <v>489</v>
      </c>
      <c r="F167" s="21" t="s">
        <v>490</v>
      </c>
      <c r="G167" s="21" t="s">
        <v>491</v>
      </c>
      <c r="H167" s="21" t="s">
        <v>492</v>
      </c>
      <c r="I167" s="21" t="s">
        <v>781</v>
      </c>
      <c r="J167" s="21" t="s">
        <v>782</v>
      </c>
      <c r="K167" s="21" t="s">
        <v>780</v>
      </c>
      <c r="L167" s="22">
        <v>1605</v>
      </c>
      <c r="M167" s="21" t="s">
        <v>496</v>
      </c>
      <c r="N167" s="21" t="s">
        <v>497</v>
      </c>
      <c r="O167" s="22">
        <v>713</v>
      </c>
      <c r="P167" s="22">
        <v>76</v>
      </c>
      <c r="Q167" s="23">
        <v>6.3</v>
      </c>
      <c r="R167" s="24"/>
      <c r="S167" s="21" t="s">
        <v>66</v>
      </c>
      <c r="T167" s="21" t="s">
        <v>501</v>
      </c>
      <c r="U167" s="12"/>
      <c r="V167" s="21"/>
      <c r="W167" s="12"/>
      <c r="X167" s="11"/>
      <c r="Y167" s="25"/>
      <c r="Z167" s="11"/>
    </row>
    <row r="168" spans="1:26" x14ac:dyDescent="0.25">
      <c r="A168" s="8" t="str">
        <f>IF(AND(COUNTBLANK('Bid Sheet'!$R$168:$R$168)=1,COUNTBLANK('Bid Sheet'!$U$168:$U$168)=1,COUNTBLANK('Bid Sheet'!$W$168:$Z$168)=4),"",IF(OR(COUNTBLANK('Bid Sheet'!$R$168:$R$168)&gt;0,COUNTBLANK('Bid Sheet'!$X$168:$X$168)&gt;0, SUM(COUNTBLANK('Bid Sheet'!$D$3:$E$3), COUNTBLANK('Bid Sheet'!$D$4:$E$4), COUNTBLANK('Bid Sheet'!$D$5:$E$5), COUNTBLANK('Bid Sheet'!$D$6:$E$6), COUNTBLANK('Bid Sheet'!$D$7:$E$7))&gt;0), "No", "Yes"))</f>
        <v/>
      </c>
      <c r="B168" s="8"/>
      <c r="C168" s="8" t="s">
        <v>282</v>
      </c>
      <c r="D168" s="8" t="s">
        <v>488</v>
      </c>
      <c r="E168" s="8" t="s">
        <v>489</v>
      </c>
      <c r="F168" s="8" t="s">
        <v>502</v>
      </c>
      <c r="G168" s="8" t="s">
        <v>503</v>
      </c>
      <c r="H168" s="8" t="s">
        <v>504</v>
      </c>
      <c r="I168" s="8" t="s">
        <v>783</v>
      </c>
      <c r="J168" s="8" t="s">
        <v>784</v>
      </c>
      <c r="K168" s="8" t="s">
        <v>785</v>
      </c>
      <c r="L168" s="17">
        <v>125</v>
      </c>
      <c r="M168" s="8" t="s">
        <v>496</v>
      </c>
      <c r="N168" s="8" t="s">
        <v>497</v>
      </c>
      <c r="O168" s="17">
        <v>73</v>
      </c>
      <c r="P168" s="17">
        <v>40</v>
      </c>
      <c r="Q168" s="18">
        <v>3.3</v>
      </c>
      <c r="R168" s="19"/>
      <c r="S168" s="8" t="s">
        <v>66</v>
      </c>
      <c r="T168" s="8"/>
      <c r="U168" s="10"/>
      <c r="V168" s="8"/>
      <c r="W168" s="10"/>
      <c r="X168" s="9"/>
      <c r="Y168" s="20"/>
      <c r="Z168" s="9"/>
    </row>
    <row r="169" spans="1:26" x14ac:dyDescent="0.25">
      <c r="A169" s="21" t="str">
        <f>IF(AND(COUNTBLANK('Bid Sheet'!$R$169:$R$169)=1,COUNTBLANK('Bid Sheet'!$U$169:$U$169)=1,COUNTBLANK('Bid Sheet'!$W$169:$Z$169)=4),"",IF(OR(COUNTBLANK('Bid Sheet'!$R$169:$R$169)&gt;0,COUNTBLANK('Bid Sheet'!$X$169:$X$169)&gt;0, SUM(COUNTBLANK('Bid Sheet'!$D$3:$E$3), COUNTBLANK('Bid Sheet'!$D$4:$E$4), COUNTBLANK('Bid Sheet'!$D$5:$E$5), COUNTBLANK('Bid Sheet'!$D$6:$E$6), COUNTBLANK('Bid Sheet'!$D$7:$E$7))&gt;0), "No", "Yes"))</f>
        <v/>
      </c>
      <c r="B169" s="21"/>
      <c r="C169" s="21" t="s">
        <v>283</v>
      </c>
      <c r="D169" s="21" t="s">
        <v>488</v>
      </c>
      <c r="E169" s="21" t="s">
        <v>489</v>
      </c>
      <c r="F169" s="21" t="s">
        <v>502</v>
      </c>
      <c r="G169" s="21" t="s">
        <v>503</v>
      </c>
      <c r="H169" s="21" t="s">
        <v>504</v>
      </c>
      <c r="I169" s="21" t="s">
        <v>786</v>
      </c>
      <c r="J169" s="21" t="s">
        <v>787</v>
      </c>
      <c r="K169" s="21" t="s">
        <v>785</v>
      </c>
      <c r="L169" s="22">
        <v>134</v>
      </c>
      <c r="M169" s="21" t="s">
        <v>496</v>
      </c>
      <c r="N169" s="21" t="s">
        <v>497</v>
      </c>
      <c r="O169" s="22">
        <v>79</v>
      </c>
      <c r="P169" s="22">
        <v>51</v>
      </c>
      <c r="Q169" s="23">
        <v>4.3</v>
      </c>
      <c r="R169" s="24"/>
      <c r="S169" s="21" t="s">
        <v>66</v>
      </c>
      <c r="T169" s="21"/>
      <c r="U169" s="12"/>
      <c r="V169" s="21"/>
      <c r="W169" s="12"/>
      <c r="X169" s="11"/>
      <c r="Y169" s="25"/>
      <c r="Z169" s="11"/>
    </row>
    <row r="170" spans="1:26" x14ac:dyDescent="0.25">
      <c r="A170" s="8" t="str">
        <f>IF(AND(COUNTBLANK('Bid Sheet'!$R$170:$R$170)=1,COUNTBLANK('Bid Sheet'!$U$170:$U$170)=1,COUNTBLANK('Bid Sheet'!$W$170:$Z$170)=4),"",IF(OR(COUNTBLANK('Bid Sheet'!$R$170:$R$170)&gt;0,COUNTBLANK('Bid Sheet'!$X$170:$X$170)&gt;0, SUM(COUNTBLANK('Bid Sheet'!$D$3:$E$3), COUNTBLANK('Bid Sheet'!$D$4:$E$4), COUNTBLANK('Bid Sheet'!$D$5:$E$5), COUNTBLANK('Bid Sheet'!$D$6:$E$6), COUNTBLANK('Bid Sheet'!$D$7:$E$7))&gt;0), "No", "Yes"))</f>
        <v/>
      </c>
      <c r="B170" s="8"/>
      <c r="C170" s="8" t="s">
        <v>284</v>
      </c>
      <c r="D170" s="8" t="s">
        <v>488</v>
      </c>
      <c r="E170" s="8" t="s">
        <v>489</v>
      </c>
      <c r="F170" s="8" t="s">
        <v>502</v>
      </c>
      <c r="G170" s="8" t="s">
        <v>503</v>
      </c>
      <c r="H170" s="8" t="s">
        <v>504</v>
      </c>
      <c r="I170" s="8" t="s">
        <v>788</v>
      </c>
      <c r="J170" s="8" t="s">
        <v>789</v>
      </c>
      <c r="K170" s="8" t="s">
        <v>785</v>
      </c>
      <c r="L170" s="17">
        <v>219</v>
      </c>
      <c r="M170" s="8" t="s">
        <v>496</v>
      </c>
      <c r="N170" s="8" t="s">
        <v>497</v>
      </c>
      <c r="O170" s="17">
        <v>136</v>
      </c>
      <c r="P170" s="17">
        <v>110</v>
      </c>
      <c r="Q170" s="18">
        <v>9.1999999999999993</v>
      </c>
      <c r="R170" s="19"/>
      <c r="S170" s="8" t="s">
        <v>66</v>
      </c>
      <c r="T170" s="8" t="s">
        <v>501</v>
      </c>
      <c r="U170" s="10"/>
      <c r="V170" s="8"/>
      <c r="W170" s="10"/>
      <c r="X170" s="9"/>
      <c r="Y170" s="20"/>
      <c r="Z170" s="9"/>
    </row>
    <row r="171" spans="1:26" x14ac:dyDescent="0.25">
      <c r="A171" s="21" t="str">
        <f>IF(AND(COUNTBLANK('Bid Sheet'!$R$171:$R$171)=1,COUNTBLANK('Bid Sheet'!$U$171:$U$171)=1,COUNTBLANK('Bid Sheet'!$W$171:$Z$171)=4),"",IF(OR(COUNTBLANK('Bid Sheet'!$R$171:$R$171)&gt;0,COUNTBLANK('Bid Sheet'!$X$171:$X$171)&gt;0, SUM(COUNTBLANK('Bid Sheet'!$D$3:$E$3), COUNTBLANK('Bid Sheet'!$D$4:$E$4), COUNTBLANK('Bid Sheet'!$D$5:$E$5), COUNTBLANK('Bid Sheet'!$D$6:$E$6), COUNTBLANK('Bid Sheet'!$D$7:$E$7))&gt;0), "No", "Yes"))</f>
        <v/>
      </c>
      <c r="B171" s="21"/>
      <c r="C171" s="21" t="s">
        <v>285</v>
      </c>
      <c r="D171" s="21" t="s">
        <v>488</v>
      </c>
      <c r="E171" s="21" t="s">
        <v>489</v>
      </c>
      <c r="F171" s="21" t="s">
        <v>502</v>
      </c>
      <c r="G171" s="21" t="s">
        <v>503</v>
      </c>
      <c r="H171" s="21" t="s">
        <v>504</v>
      </c>
      <c r="I171" s="21" t="s">
        <v>790</v>
      </c>
      <c r="J171" s="21" t="s">
        <v>791</v>
      </c>
      <c r="K171" s="21" t="s">
        <v>785</v>
      </c>
      <c r="L171" s="22">
        <v>220</v>
      </c>
      <c r="M171" s="21" t="s">
        <v>496</v>
      </c>
      <c r="N171" s="21" t="s">
        <v>497</v>
      </c>
      <c r="O171" s="22">
        <v>121</v>
      </c>
      <c r="P171" s="22">
        <v>20</v>
      </c>
      <c r="Q171" s="23">
        <v>1.7</v>
      </c>
      <c r="R171" s="24"/>
      <c r="S171" s="21" t="s">
        <v>66</v>
      </c>
      <c r="T171" s="21"/>
      <c r="U171" s="12"/>
      <c r="V171" s="21"/>
      <c r="W171" s="12"/>
      <c r="X171" s="11"/>
      <c r="Y171" s="25"/>
      <c r="Z171" s="11"/>
    </row>
    <row r="172" spans="1:26" x14ac:dyDescent="0.25">
      <c r="A172" s="8" t="str">
        <f>IF(AND(COUNTBLANK('Bid Sheet'!$R$172:$R$172)=1,COUNTBLANK('Bid Sheet'!$U$172:$U$172)=1,COUNTBLANK('Bid Sheet'!$W$172:$Z$172)=4),"",IF(OR(COUNTBLANK('Bid Sheet'!$R$172:$R$172)&gt;0,COUNTBLANK('Bid Sheet'!$X$172:$X$172)&gt;0, SUM(COUNTBLANK('Bid Sheet'!$D$3:$E$3), COUNTBLANK('Bid Sheet'!$D$4:$E$4), COUNTBLANK('Bid Sheet'!$D$5:$E$5), COUNTBLANK('Bid Sheet'!$D$6:$E$6), COUNTBLANK('Bid Sheet'!$D$7:$E$7))&gt;0), "No", "Yes"))</f>
        <v/>
      </c>
      <c r="B172" s="8"/>
      <c r="C172" s="8" t="s">
        <v>286</v>
      </c>
      <c r="D172" s="8" t="s">
        <v>488</v>
      </c>
      <c r="E172" s="8" t="s">
        <v>489</v>
      </c>
      <c r="F172" s="8" t="s">
        <v>502</v>
      </c>
      <c r="G172" s="8" t="s">
        <v>503</v>
      </c>
      <c r="H172" s="8" t="s">
        <v>504</v>
      </c>
      <c r="I172" s="8" t="s">
        <v>792</v>
      </c>
      <c r="J172" s="8" t="s">
        <v>793</v>
      </c>
      <c r="K172" s="8" t="s">
        <v>785</v>
      </c>
      <c r="L172" s="17">
        <v>221</v>
      </c>
      <c r="M172" s="8" t="s">
        <v>496</v>
      </c>
      <c r="N172" s="8" t="s">
        <v>497</v>
      </c>
      <c r="O172" s="17">
        <v>124</v>
      </c>
      <c r="P172" s="17">
        <v>27</v>
      </c>
      <c r="Q172" s="18">
        <v>2.2999999999999998</v>
      </c>
      <c r="R172" s="19"/>
      <c r="S172" s="8" t="s">
        <v>66</v>
      </c>
      <c r="T172" s="8"/>
      <c r="U172" s="10"/>
      <c r="V172" s="8"/>
      <c r="W172" s="10"/>
      <c r="X172" s="9"/>
      <c r="Y172" s="20"/>
      <c r="Z172" s="9"/>
    </row>
    <row r="173" spans="1:26" x14ac:dyDescent="0.25">
      <c r="A173" s="21" t="str">
        <f>IF(AND(COUNTBLANK('Bid Sheet'!$R$173:$R$173)=1,COUNTBLANK('Bid Sheet'!$U$173:$U$173)=1,COUNTBLANK('Bid Sheet'!$W$173:$Z$173)=4),"",IF(OR(COUNTBLANK('Bid Sheet'!$R$173:$R$173)&gt;0,COUNTBLANK('Bid Sheet'!$X$173:$X$173)&gt;0, SUM(COUNTBLANK('Bid Sheet'!$D$3:$E$3), COUNTBLANK('Bid Sheet'!$D$4:$E$4), COUNTBLANK('Bid Sheet'!$D$5:$E$5), COUNTBLANK('Bid Sheet'!$D$6:$E$6), COUNTBLANK('Bid Sheet'!$D$7:$E$7))&gt;0), "No", "Yes"))</f>
        <v/>
      </c>
      <c r="B173" s="21"/>
      <c r="C173" s="21" t="s">
        <v>287</v>
      </c>
      <c r="D173" s="21" t="s">
        <v>488</v>
      </c>
      <c r="E173" s="21" t="s">
        <v>489</v>
      </c>
      <c r="F173" s="21" t="s">
        <v>502</v>
      </c>
      <c r="G173" s="21" t="s">
        <v>503</v>
      </c>
      <c r="H173" s="21" t="s">
        <v>504</v>
      </c>
      <c r="I173" s="21" t="s">
        <v>794</v>
      </c>
      <c r="J173" s="21" t="s">
        <v>795</v>
      </c>
      <c r="K173" s="21" t="s">
        <v>785</v>
      </c>
      <c r="L173" s="22">
        <v>155</v>
      </c>
      <c r="M173" s="21" t="s">
        <v>496</v>
      </c>
      <c r="N173" s="21" t="s">
        <v>497</v>
      </c>
      <c r="O173" s="22">
        <v>88</v>
      </c>
      <c r="P173" s="22">
        <v>36</v>
      </c>
      <c r="Q173" s="23">
        <v>3</v>
      </c>
      <c r="R173" s="24"/>
      <c r="S173" s="21" t="s">
        <v>66</v>
      </c>
      <c r="T173" s="21"/>
      <c r="U173" s="12"/>
      <c r="V173" s="21"/>
      <c r="W173" s="12"/>
      <c r="X173" s="11"/>
      <c r="Y173" s="25"/>
      <c r="Z173" s="11"/>
    </row>
    <row r="174" spans="1:26" x14ac:dyDescent="0.25">
      <c r="A174" s="8" t="str">
        <f>IF(AND(COUNTBLANK('Bid Sheet'!$R$174:$R$174)=1,COUNTBLANK('Bid Sheet'!$U$174:$U$174)=1,COUNTBLANK('Bid Sheet'!$W$174:$Z$174)=4),"",IF(OR(COUNTBLANK('Bid Sheet'!$R$174:$R$174)&gt;0,COUNTBLANK('Bid Sheet'!$X$174:$X$174)&gt;0, SUM(COUNTBLANK('Bid Sheet'!$D$3:$E$3), COUNTBLANK('Bid Sheet'!$D$4:$E$4), COUNTBLANK('Bid Sheet'!$D$5:$E$5), COUNTBLANK('Bid Sheet'!$D$6:$E$6), COUNTBLANK('Bid Sheet'!$D$7:$E$7))&gt;0), "No", "Yes"))</f>
        <v/>
      </c>
      <c r="B174" s="8"/>
      <c r="C174" s="8" t="s">
        <v>288</v>
      </c>
      <c r="D174" s="8" t="s">
        <v>488</v>
      </c>
      <c r="E174" s="8" t="s">
        <v>489</v>
      </c>
      <c r="F174" s="8" t="s">
        <v>502</v>
      </c>
      <c r="G174" s="8" t="s">
        <v>503</v>
      </c>
      <c r="H174" s="8" t="s">
        <v>504</v>
      </c>
      <c r="I174" s="8" t="s">
        <v>796</v>
      </c>
      <c r="J174" s="8" t="s">
        <v>797</v>
      </c>
      <c r="K174" s="8" t="s">
        <v>785</v>
      </c>
      <c r="L174" s="17">
        <v>93</v>
      </c>
      <c r="M174" s="8" t="s">
        <v>496</v>
      </c>
      <c r="N174" s="8" t="s">
        <v>497</v>
      </c>
      <c r="O174" s="17">
        <v>61</v>
      </c>
      <c r="P174" s="17">
        <v>65</v>
      </c>
      <c r="Q174" s="18">
        <v>5.4</v>
      </c>
      <c r="R174" s="19"/>
      <c r="S174" s="8" t="s">
        <v>66</v>
      </c>
      <c r="T174" s="8" t="s">
        <v>501</v>
      </c>
      <c r="U174" s="10"/>
      <c r="V174" s="8"/>
      <c r="W174" s="10"/>
      <c r="X174" s="9"/>
      <c r="Y174" s="20"/>
      <c r="Z174" s="9"/>
    </row>
    <row r="175" spans="1:26" x14ac:dyDescent="0.25">
      <c r="A175" s="21" t="str">
        <f>IF(AND(COUNTBLANK('Bid Sheet'!$R$175:$R$175)=1,COUNTBLANK('Bid Sheet'!$U$175:$U$175)=1,COUNTBLANK('Bid Sheet'!$W$175:$Z$175)=4),"",IF(OR(COUNTBLANK('Bid Sheet'!$R$175:$R$175)&gt;0,COUNTBLANK('Bid Sheet'!$X$175:$X$175)&gt;0, SUM(COUNTBLANK('Bid Sheet'!$D$3:$E$3), COUNTBLANK('Bid Sheet'!$D$4:$E$4), COUNTBLANK('Bid Sheet'!$D$5:$E$5), COUNTBLANK('Bid Sheet'!$D$6:$E$6), COUNTBLANK('Bid Sheet'!$D$7:$E$7))&gt;0), "No", "Yes"))</f>
        <v/>
      </c>
      <c r="B175" s="21"/>
      <c r="C175" s="21" t="s">
        <v>289</v>
      </c>
      <c r="D175" s="21" t="s">
        <v>488</v>
      </c>
      <c r="E175" s="21" t="s">
        <v>489</v>
      </c>
      <c r="F175" s="21" t="s">
        <v>502</v>
      </c>
      <c r="G175" s="21" t="s">
        <v>503</v>
      </c>
      <c r="H175" s="21" t="s">
        <v>504</v>
      </c>
      <c r="I175" s="21" t="s">
        <v>798</v>
      </c>
      <c r="J175" s="21" t="s">
        <v>799</v>
      </c>
      <c r="K175" s="21" t="s">
        <v>785</v>
      </c>
      <c r="L175" s="22">
        <v>261</v>
      </c>
      <c r="M175" s="21" t="s">
        <v>496</v>
      </c>
      <c r="N175" s="21" t="s">
        <v>497</v>
      </c>
      <c r="O175" s="22">
        <v>146</v>
      </c>
      <c r="P175" s="22">
        <v>24</v>
      </c>
      <c r="Q175" s="23">
        <v>2</v>
      </c>
      <c r="R175" s="24"/>
      <c r="S175" s="21" t="s">
        <v>66</v>
      </c>
      <c r="T175" s="21"/>
      <c r="U175" s="12"/>
      <c r="V175" s="21"/>
      <c r="W175" s="12"/>
      <c r="X175" s="11"/>
      <c r="Y175" s="25"/>
      <c r="Z175" s="11"/>
    </row>
    <row r="176" spans="1:26" x14ac:dyDescent="0.25">
      <c r="A176" s="8" t="str">
        <f>IF(AND(COUNTBLANK('Bid Sheet'!$R$176:$R$176)=1,COUNTBLANK('Bid Sheet'!$U$176:$U$176)=1,COUNTBLANK('Bid Sheet'!$W$176:$Z$176)=4),"",IF(OR(COUNTBLANK('Bid Sheet'!$R$176:$R$176)&gt;0,COUNTBLANK('Bid Sheet'!$X$176:$X$176)&gt;0, SUM(COUNTBLANK('Bid Sheet'!$D$3:$E$3), COUNTBLANK('Bid Sheet'!$D$4:$E$4), COUNTBLANK('Bid Sheet'!$D$5:$E$5), COUNTBLANK('Bid Sheet'!$D$6:$E$6), COUNTBLANK('Bid Sheet'!$D$7:$E$7))&gt;0), "No", "Yes"))</f>
        <v/>
      </c>
      <c r="B176" s="8"/>
      <c r="C176" s="8" t="s">
        <v>290</v>
      </c>
      <c r="D176" s="8" t="s">
        <v>488</v>
      </c>
      <c r="E176" s="8" t="s">
        <v>489</v>
      </c>
      <c r="F176" s="8" t="s">
        <v>502</v>
      </c>
      <c r="G176" s="8" t="s">
        <v>503</v>
      </c>
      <c r="H176" s="8" t="s">
        <v>504</v>
      </c>
      <c r="I176" s="8" t="s">
        <v>800</v>
      </c>
      <c r="J176" s="8" t="s">
        <v>801</v>
      </c>
      <c r="K176" s="8" t="s">
        <v>785</v>
      </c>
      <c r="L176" s="17">
        <v>249</v>
      </c>
      <c r="M176" s="8" t="s">
        <v>496</v>
      </c>
      <c r="N176" s="8" t="s">
        <v>497</v>
      </c>
      <c r="O176" s="17">
        <v>131</v>
      </c>
      <c r="P176" s="17">
        <v>24</v>
      </c>
      <c r="Q176" s="18">
        <v>2</v>
      </c>
      <c r="R176" s="19"/>
      <c r="S176" s="8" t="s">
        <v>66</v>
      </c>
      <c r="T176" s="8"/>
      <c r="U176" s="10"/>
      <c r="V176" s="8"/>
      <c r="W176" s="10"/>
      <c r="X176" s="9"/>
      <c r="Y176" s="20"/>
      <c r="Z176" s="9"/>
    </row>
    <row r="177" spans="1:26" x14ac:dyDescent="0.25">
      <c r="A177" s="21" t="str">
        <f>IF(AND(COUNTBLANK('Bid Sheet'!$R$177:$R$177)=1,COUNTBLANK('Bid Sheet'!$U$177:$U$177)=1,COUNTBLANK('Bid Sheet'!$W$177:$Z$177)=4),"",IF(OR(COUNTBLANK('Bid Sheet'!$R$177:$R$177)&gt;0,COUNTBLANK('Bid Sheet'!$X$177:$X$177)&gt;0, SUM(COUNTBLANK('Bid Sheet'!$D$3:$E$3), COUNTBLANK('Bid Sheet'!$D$4:$E$4), COUNTBLANK('Bid Sheet'!$D$5:$E$5), COUNTBLANK('Bid Sheet'!$D$6:$E$6), COUNTBLANK('Bid Sheet'!$D$7:$E$7))&gt;0), "No", "Yes"))</f>
        <v/>
      </c>
      <c r="B177" s="21"/>
      <c r="C177" s="21" t="s">
        <v>291</v>
      </c>
      <c r="D177" s="21" t="s">
        <v>488</v>
      </c>
      <c r="E177" s="21" t="s">
        <v>489</v>
      </c>
      <c r="F177" s="21" t="s">
        <v>490</v>
      </c>
      <c r="G177" s="21" t="s">
        <v>491</v>
      </c>
      <c r="H177" s="21" t="s">
        <v>492</v>
      </c>
      <c r="I177" s="21" t="s">
        <v>796</v>
      </c>
      <c r="J177" s="21" t="s">
        <v>797</v>
      </c>
      <c r="K177" s="21" t="s">
        <v>785</v>
      </c>
      <c r="L177" s="22">
        <v>1190</v>
      </c>
      <c r="M177" s="21" t="s">
        <v>496</v>
      </c>
      <c r="N177" s="21" t="s">
        <v>497</v>
      </c>
      <c r="O177" s="22">
        <v>542</v>
      </c>
      <c r="P177" s="22">
        <v>5</v>
      </c>
      <c r="Q177" s="23">
        <v>0.4</v>
      </c>
      <c r="R177" s="24"/>
      <c r="S177" s="21" t="s">
        <v>66</v>
      </c>
      <c r="T177" s="21" t="s">
        <v>501</v>
      </c>
      <c r="U177" s="12"/>
      <c r="V177" s="21"/>
      <c r="W177" s="12"/>
      <c r="X177" s="11"/>
      <c r="Y177" s="25"/>
      <c r="Z177" s="11"/>
    </row>
    <row r="178" spans="1:26" x14ac:dyDescent="0.25">
      <c r="A178" s="8" t="str">
        <f>IF(AND(COUNTBLANK('Bid Sheet'!$R$178:$R$178)=1,COUNTBLANK('Bid Sheet'!$U$178:$U$178)=1,COUNTBLANK('Bid Sheet'!$W$178:$Z$178)=4),"",IF(OR(COUNTBLANK('Bid Sheet'!$R$178:$R$178)&gt;0,COUNTBLANK('Bid Sheet'!$X$178:$X$178)&gt;0, SUM(COUNTBLANK('Bid Sheet'!$D$3:$E$3), COUNTBLANK('Bid Sheet'!$D$4:$E$4), COUNTBLANK('Bid Sheet'!$D$5:$E$5), COUNTBLANK('Bid Sheet'!$D$6:$E$6), COUNTBLANK('Bid Sheet'!$D$7:$E$7))&gt;0), "No", "Yes"))</f>
        <v/>
      </c>
      <c r="B178" s="8"/>
      <c r="C178" s="8" t="s">
        <v>292</v>
      </c>
      <c r="D178" s="8" t="s">
        <v>488</v>
      </c>
      <c r="E178" s="8" t="s">
        <v>489</v>
      </c>
      <c r="F178" s="8" t="s">
        <v>490</v>
      </c>
      <c r="G178" s="8" t="s">
        <v>491</v>
      </c>
      <c r="H178" s="8" t="s">
        <v>492</v>
      </c>
      <c r="I178" s="8" t="s">
        <v>802</v>
      </c>
      <c r="J178" s="8" t="s">
        <v>803</v>
      </c>
      <c r="K178" s="8" t="s">
        <v>804</v>
      </c>
      <c r="L178" s="17">
        <v>811</v>
      </c>
      <c r="M178" s="8" t="s">
        <v>496</v>
      </c>
      <c r="N178" s="8" t="s">
        <v>497</v>
      </c>
      <c r="O178" s="17">
        <v>361</v>
      </c>
      <c r="P178" s="17">
        <v>10</v>
      </c>
      <c r="Q178" s="18">
        <v>0.8</v>
      </c>
      <c r="R178" s="19"/>
      <c r="S178" s="8" t="s">
        <v>66</v>
      </c>
      <c r="T178" s="8"/>
      <c r="U178" s="10"/>
      <c r="V178" s="8"/>
      <c r="W178" s="10"/>
      <c r="X178" s="9"/>
      <c r="Y178" s="20"/>
      <c r="Z178" s="9"/>
    </row>
    <row r="179" spans="1:26" x14ac:dyDescent="0.25">
      <c r="A179" s="21" t="str">
        <f>IF(AND(COUNTBLANK('Bid Sheet'!$R$179:$R$179)=1,COUNTBLANK('Bid Sheet'!$U$179:$U$179)=1,COUNTBLANK('Bid Sheet'!$W$179:$Z$179)=4),"",IF(OR(COUNTBLANK('Bid Sheet'!$R$179:$R$179)&gt;0,COUNTBLANK('Bid Sheet'!$X$179:$X$179)&gt;0, SUM(COUNTBLANK('Bid Sheet'!$D$3:$E$3), COUNTBLANK('Bid Sheet'!$D$4:$E$4), COUNTBLANK('Bid Sheet'!$D$5:$E$5), COUNTBLANK('Bid Sheet'!$D$6:$E$6), COUNTBLANK('Bid Sheet'!$D$7:$E$7))&gt;0), "No", "Yes"))</f>
        <v/>
      </c>
      <c r="B179" s="21"/>
      <c r="C179" s="21" t="s">
        <v>293</v>
      </c>
      <c r="D179" s="21" t="s">
        <v>488</v>
      </c>
      <c r="E179" s="21" t="s">
        <v>489</v>
      </c>
      <c r="F179" s="21" t="s">
        <v>490</v>
      </c>
      <c r="G179" s="21" t="s">
        <v>491</v>
      </c>
      <c r="H179" s="21" t="s">
        <v>492</v>
      </c>
      <c r="I179" s="21" t="s">
        <v>805</v>
      </c>
      <c r="J179" s="21" t="s">
        <v>806</v>
      </c>
      <c r="K179" s="21" t="s">
        <v>804</v>
      </c>
      <c r="L179" s="22">
        <v>702</v>
      </c>
      <c r="M179" s="21" t="s">
        <v>496</v>
      </c>
      <c r="N179" s="21" t="s">
        <v>497</v>
      </c>
      <c r="O179" s="22">
        <v>315</v>
      </c>
      <c r="P179" s="22">
        <v>64</v>
      </c>
      <c r="Q179" s="23">
        <v>5.3</v>
      </c>
      <c r="R179" s="24"/>
      <c r="S179" s="21" t="s">
        <v>66</v>
      </c>
      <c r="T179" s="21"/>
      <c r="U179" s="12"/>
      <c r="V179" s="21"/>
      <c r="W179" s="12"/>
      <c r="X179" s="11"/>
      <c r="Y179" s="25"/>
      <c r="Z179" s="11"/>
    </row>
    <row r="180" spans="1:26" x14ac:dyDescent="0.25">
      <c r="A180" s="8" t="str">
        <f>IF(AND(COUNTBLANK('Bid Sheet'!$R$180:$R$180)=1,COUNTBLANK('Bid Sheet'!$U$180:$U$180)=1,COUNTBLANK('Bid Sheet'!$W$180:$Z$180)=4),"",IF(OR(COUNTBLANK('Bid Sheet'!$R$180:$R$180)&gt;0,COUNTBLANK('Bid Sheet'!$X$180:$X$180)&gt;0, SUM(COUNTBLANK('Bid Sheet'!$D$3:$E$3), COUNTBLANK('Bid Sheet'!$D$4:$E$4), COUNTBLANK('Bid Sheet'!$D$5:$E$5), COUNTBLANK('Bid Sheet'!$D$6:$E$6), COUNTBLANK('Bid Sheet'!$D$7:$E$7))&gt;0), "No", "Yes"))</f>
        <v/>
      </c>
      <c r="B180" s="8"/>
      <c r="C180" s="8" t="s">
        <v>294</v>
      </c>
      <c r="D180" s="8" t="s">
        <v>488</v>
      </c>
      <c r="E180" s="8" t="s">
        <v>489</v>
      </c>
      <c r="F180" s="8" t="s">
        <v>490</v>
      </c>
      <c r="G180" s="8" t="s">
        <v>491</v>
      </c>
      <c r="H180" s="8" t="s">
        <v>492</v>
      </c>
      <c r="I180" s="8" t="s">
        <v>807</v>
      </c>
      <c r="J180" s="8" t="s">
        <v>808</v>
      </c>
      <c r="K180" s="8" t="s">
        <v>804</v>
      </c>
      <c r="L180" s="17">
        <v>684</v>
      </c>
      <c r="M180" s="8" t="s">
        <v>496</v>
      </c>
      <c r="N180" s="8" t="s">
        <v>497</v>
      </c>
      <c r="O180" s="17">
        <v>303</v>
      </c>
      <c r="P180" s="17">
        <v>129</v>
      </c>
      <c r="Q180" s="18">
        <v>10.8</v>
      </c>
      <c r="R180" s="19"/>
      <c r="S180" s="8" t="s">
        <v>66</v>
      </c>
      <c r="T180" s="8" t="s">
        <v>501</v>
      </c>
      <c r="U180" s="10"/>
      <c r="V180" s="8"/>
      <c r="W180" s="10"/>
      <c r="X180" s="9"/>
      <c r="Y180" s="20"/>
      <c r="Z180" s="9"/>
    </row>
    <row r="181" spans="1:26" x14ac:dyDescent="0.25">
      <c r="A181" s="21" t="str">
        <f>IF(AND(COUNTBLANK('Bid Sheet'!$R$181:$R$181)=1,COUNTBLANK('Bid Sheet'!$U$181:$U$181)=1,COUNTBLANK('Bid Sheet'!$W$181:$Z$181)=4),"",IF(OR(COUNTBLANK('Bid Sheet'!$R$181:$R$181)&gt;0,COUNTBLANK('Bid Sheet'!$X$181:$X$181)&gt;0, SUM(COUNTBLANK('Bid Sheet'!$D$3:$E$3), COUNTBLANK('Bid Sheet'!$D$4:$E$4), COUNTBLANK('Bid Sheet'!$D$5:$E$5), COUNTBLANK('Bid Sheet'!$D$6:$E$6), COUNTBLANK('Bid Sheet'!$D$7:$E$7))&gt;0), "No", "Yes"))</f>
        <v/>
      </c>
      <c r="B181" s="21"/>
      <c r="C181" s="21" t="s">
        <v>295</v>
      </c>
      <c r="D181" s="21" t="s">
        <v>488</v>
      </c>
      <c r="E181" s="21" t="s">
        <v>489</v>
      </c>
      <c r="F181" s="21" t="s">
        <v>490</v>
      </c>
      <c r="G181" s="21" t="s">
        <v>491</v>
      </c>
      <c r="H181" s="21" t="s">
        <v>492</v>
      </c>
      <c r="I181" s="21" t="s">
        <v>809</v>
      </c>
      <c r="J181" s="21" t="s">
        <v>810</v>
      </c>
      <c r="K181" s="21" t="s">
        <v>804</v>
      </c>
      <c r="L181" s="22">
        <v>677</v>
      </c>
      <c r="M181" s="21" t="s">
        <v>496</v>
      </c>
      <c r="N181" s="21" t="s">
        <v>497</v>
      </c>
      <c r="O181" s="22">
        <v>304</v>
      </c>
      <c r="P181" s="22">
        <v>18</v>
      </c>
      <c r="Q181" s="23">
        <v>1.5</v>
      </c>
      <c r="R181" s="24"/>
      <c r="S181" s="21" t="s">
        <v>66</v>
      </c>
      <c r="T181" s="21"/>
      <c r="U181" s="12"/>
      <c r="V181" s="21"/>
      <c r="W181" s="12"/>
      <c r="X181" s="11"/>
      <c r="Y181" s="25"/>
      <c r="Z181" s="11"/>
    </row>
    <row r="182" spans="1:26" x14ac:dyDescent="0.25">
      <c r="A182" s="8" t="str">
        <f>IF(AND(COUNTBLANK('Bid Sheet'!$R$182:$R$182)=1,COUNTBLANK('Bid Sheet'!$U$182:$U$182)=1,COUNTBLANK('Bid Sheet'!$W$182:$Z$182)=4),"",IF(OR(COUNTBLANK('Bid Sheet'!$R$182:$R$182)&gt;0,COUNTBLANK('Bid Sheet'!$X$182:$X$182)&gt;0, SUM(COUNTBLANK('Bid Sheet'!$D$3:$E$3), COUNTBLANK('Bid Sheet'!$D$4:$E$4), COUNTBLANK('Bid Sheet'!$D$5:$E$5), COUNTBLANK('Bid Sheet'!$D$6:$E$6), COUNTBLANK('Bid Sheet'!$D$7:$E$7))&gt;0), "No", "Yes"))</f>
        <v/>
      </c>
      <c r="B182" s="8"/>
      <c r="C182" s="8" t="s">
        <v>296</v>
      </c>
      <c r="D182" s="8" t="s">
        <v>488</v>
      </c>
      <c r="E182" s="8" t="s">
        <v>489</v>
      </c>
      <c r="F182" s="8" t="s">
        <v>490</v>
      </c>
      <c r="G182" s="8" t="s">
        <v>491</v>
      </c>
      <c r="H182" s="8" t="s">
        <v>492</v>
      </c>
      <c r="I182" s="8" t="s">
        <v>811</v>
      </c>
      <c r="J182" s="8" t="s">
        <v>812</v>
      </c>
      <c r="K182" s="8" t="s">
        <v>804</v>
      </c>
      <c r="L182" s="17">
        <v>749</v>
      </c>
      <c r="M182" s="8" t="s">
        <v>496</v>
      </c>
      <c r="N182" s="8" t="s">
        <v>497</v>
      </c>
      <c r="O182" s="17">
        <v>335</v>
      </c>
      <c r="P182" s="17">
        <v>48</v>
      </c>
      <c r="Q182" s="18">
        <v>4</v>
      </c>
      <c r="R182" s="19"/>
      <c r="S182" s="8" t="s">
        <v>66</v>
      </c>
      <c r="T182" s="8"/>
      <c r="U182" s="10"/>
      <c r="V182" s="8"/>
      <c r="W182" s="10"/>
      <c r="X182" s="9"/>
      <c r="Y182" s="20"/>
      <c r="Z182" s="9"/>
    </row>
    <row r="183" spans="1:26" x14ac:dyDescent="0.25">
      <c r="A183" s="21" t="str">
        <f>IF(AND(COUNTBLANK('Bid Sheet'!$R$183:$R$183)=1,COUNTBLANK('Bid Sheet'!$U$183:$U$183)=1,COUNTBLANK('Bid Sheet'!$W$183:$Z$183)=4),"",IF(OR(COUNTBLANK('Bid Sheet'!$R$183:$R$183)&gt;0,COUNTBLANK('Bid Sheet'!$X$183:$X$183)&gt;0, SUM(COUNTBLANK('Bid Sheet'!$D$3:$E$3), COUNTBLANK('Bid Sheet'!$D$4:$E$4), COUNTBLANK('Bid Sheet'!$D$5:$E$5), COUNTBLANK('Bid Sheet'!$D$6:$E$6), COUNTBLANK('Bid Sheet'!$D$7:$E$7))&gt;0), "No", "Yes"))</f>
        <v/>
      </c>
      <c r="B183" s="21"/>
      <c r="C183" s="21" t="s">
        <v>297</v>
      </c>
      <c r="D183" s="21" t="s">
        <v>488</v>
      </c>
      <c r="E183" s="21" t="s">
        <v>489</v>
      </c>
      <c r="F183" s="21" t="s">
        <v>490</v>
      </c>
      <c r="G183" s="21" t="s">
        <v>491</v>
      </c>
      <c r="H183" s="21" t="s">
        <v>492</v>
      </c>
      <c r="I183" s="21" t="s">
        <v>813</v>
      </c>
      <c r="J183" s="21" t="s">
        <v>814</v>
      </c>
      <c r="K183" s="21" t="s">
        <v>804</v>
      </c>
      <c r="L183" s="22">
        <v>832</v>
      </c>
      <c r="M183" s="21" t="s">
        <v>496</v>
      </c>
      <c r="N183" s="21" t="s">
        <v>497</v>
      </c>
      <c r="O183" s="22">
        <v>375</v>
      </c>
      <c r="P183" s="22">
        <v>165</v>
      </c>
      <c r="Q183" s="23">
        <v>13.8</v>
      </c>
      <c r="R183" s="24"/>
      <c r="S183" s="21" t="s">
        <v>66</v>
      </c>
      <c r="T183" s="21" t="s">
        <v>501</v>
      </c>
      <c r="U183" s="12"/>
      <c r="V183" s="21"/>
      <c r="W183" s="12"/>
      <c r="X183" s="11"/>
      <c r="Y183" s="25"/>
      <c r="Z183" s="11"/>
    </row>
    <row r="184" spans="1:26" x14ac:dyDescent="0.25">
      <c r="A184" s="8" t="str">
        <f>IF(AND(COUNTBLANK('Bid Sheet'!$R$184:$R$184)=1,COUNTBLANK('Bid Sheet'!$U$184:$U$184)=1,COUNTBLANK('Bid Sheet'!$W$184:$Z$184)=4),"",IF(OR(COUNTBLANK('Bid Sheet'!$R$184:$R$184)&gt;0,COUNTBLANK('Bid Sheet'!$X$184:$X$184)&gt;0, SUM(COUNTBLANK('Bid Sheet'!$D$3:$E$3), COUNTBLANK('Bid Sheet'!$D$4:$E$4), COUNTBLANK('Bid Sheet'!$D$5:$E$5), COUNTBLANK('Bid Sheet'!$D$6:$E$6), COUNTBLANK('Bid Sheet'!$D$7:$E$7))&gt;0), "No", "Yes"))</f>
        <v/>
      </c>
      <c r="B184" s="8"/>
      <c r="C184" s="8" t="s">
        <v>298</v>
      </c>
      <c r="D184" s="8" t="s">
        <v>488</v>
      </c>
      <c r="E184" s="8" t="s">
        <v>489</v>
      </c>
      <c r="F184" s="8" t="s">
        <v>490</v>
      </c>
      <c r="G184" s="8" t="s">
        <v>491</v>
      </c>
      <c r="H184" s="8" t="s">
        <v>492</v>
      </c>
      <c r="I184" s="8" t="s">
        <v>815</v>
      </c>
      <c r="J184" s="8" t="s">
        <v>816</v>
      </c>
      <c r="K184" s="8" t="s">
        <v>804</v>
      </c>
      <c r="L184" s="17">
        <v>880</v>
      </c>
      <c r="M184" s="8" t="s">
        <v>496</v>
      </c>
      <c r="N184" s="8" t="s">
        <v>497</v>
      </c>
      <c r="O184" s="17">
        <v>390</v>
      </c>
      <c r="P184" s="17">
        <v>12</v>
      </c>
      <c r="Q184" s="18">
        <v>1</v>
      </c>
      <c r="R184" s="19"/>
      <c r="S184" s="8" t="s">
        <v>66</v>
      </c>
      <c r="T184" s="8"/>
      <c r="U184" s="10"/>
      <c r="V184" s="8"/>
      <c r="W184" s="10"/>
      <c r="X184" s="9"/>
      <c r="Y184" s="20"/>
      <c r="Z184" s="9"/>
    </row>
    <row r="185" spans="1:26" x14ac:dyDescent="0.25">
      <c r="A185" s="21" t="str">
        <f>IF(AND(COUNTBLANK('Bid Sheet'!$R$185:$R$185)=1,COUNTBLANK('Bid Sheet'!$U$185:$U$185)=1,COUNTBLANK('Bid Sheet'!$W$185:$Z$185)=4),"",IF(OR(COUNTBLANK('Bid Sheet'!$R$185:$R$185)&gt;0,COUNTBLANK('Bid Sheet'!$X$185:$X$185)&gt;0, SUM(COUNTBLANK('Bid Sheet'!$D$3:$E$3), COUNTBLANK('Bid Sheet'!$D$4:$E$4), COUNTBLANK('Bid Sheet'!$D$5:$E$5), COUNTBLANK('Bid Sheet'!$D$6:$E$6), COUNTBLANK('Bid Sheet'!$D$7:$E$7))&gt;0), "No", "Yes"))</f>
        <v/>
      </c>
      <c r="B185" s="21"/>
      <c r="C185" s="21" t="s">
        <v>299</v>
      </c>
      <c r="D185" s="21" t="s">
        <v>488</v>
      </c>
      <c r="E185" s="21" t="s">
        <v>489</v>
      </c>
      <c r="F185" s="21" t="s">
        <v>490</v>
      </c>
      <c r="G185" s="21" t="s">
        <v>491</v>
      </c>
      <c r="H185" s="21" t="s">
        <v>492</v>
      </c>
      <c r="I185" s="21" t="s">
        <v>817</v>
      </c>
      <c r="J185" s="21" t="s">
        <v>818</v>
      </c>
      <c r="K185" s="21" t="s">
        <v>804</v>
      </c>
      <c r="L185" s="22">
        <v>834</v>
      </c>
      <c r="M185" s="21" t="s">
        <v>496</v>
      </c>
      <c r="N185" s="21" t="s">
        <v>497</v>
      </c>
      <c r="O185" s="22">
        <v>369</v>
      </c>
      <c r="P185" s="22">
        <v>6</v>
      </c>
      <c r="Q185" s="23">
        <v>0.5</v>
      </c>
      <c r="R185" s="24"/>
      <c r="S185" s="21" t="s">
        <v>66</v>
      </c>
      <c r="T185" s="21"/>
      <c r="U185" s="12"/>
      <c r="V185" s="21"/>
      <c r="W185" s="12"/>
      <c r="X185" s="11"/>
      <c r="Y185" s="25"/>
      <c r="Z185" s="11"/>
    </row>
    <row r="186" spans="1:26" x14ac:dyDescent="0.25">
      <c r="A186" s="8" t="str">
        <f>IF(AND(COUNTBLANK('Bid Sheet'!$R$186:$R$186)=1,COUNTBLANK('Bid Sheet'!$U$186:$U$186)=1,COUNTBLANK('Bid Sheet'!$W$186:$Z$186)=4),"",IF(OR(COUNTBLANK('Bid Sheet'!$R$186:$R$186)&gt;0,COUNTBLANK('Bid Sheet'!$X$186:$X$186)&gt;0, SUM(COUNTBLANK('Bid Sheet'!$D$3:$E$3), COUNTBLANK('Bid Sheet'!$D$4:$E$4), COUNTBLANK('Bid Sheet'!$D$5:$E$5), COUNTBLANK('Bid Sheet'!$D$6:$E$6), COUNTBLANK('Bid Sheet'!$D$7:$E$7))&gt;0), "No", "Yes"))</f>
        <v/>
      </c>
      <c r="B186" s="8"/>
      <c r="C186" s="8" t="s">
        <v>300</v>
      </c>
      <c r="D186" s="8" t="s">
        <v>488</v>
      </c>
      <c r="E186" s="8" t="s">
        <v>489</v>
      </c>
      <c r="F186" s="8" t="s">
        <v>490</v>
      </c>
      <c r="G186" s="8" t="s">
        <v>491</v>
      </c>
      <c r="H186" s="8" t="s">
        <v>492</v>
      </c>
      <c r="I186" s="8" t="s">
        <v>819</v>
      </c>
      <c r="J186" s="8" t="s">
        <v>820</v>
      </c>
      <c r="K186" s="8" t="s">
        <v>804</v>
      </c>
      <c r="L186" s="17">
        <v>831</v>
      </c>
      <c r="M186" s="8" t="s">
        <v>496</v>
      </c>
      <c r="N186" s="8" t="s">
        <v>497</v>
      </c>
      <c r="O186" s="17">
        <v>369</v>
      </c>
      <c r="P186" s="17">
        <v>36</v>
      </c>
      <c r="Q186" s="18">
        <v>3</v>
      </c>
      <c r="R186" s="19"/>
      <c r="S186" s="8" t="s">
        <v>66</v>
      </c>
      <c r="T186" s="8"/>
      <c r="U186" s="10"/>
      <c r="V186" s="8"/>
      <c r="W186" s="10"/>
      <c r="X186" s="9"/>
      <c r="Y186" s="20"/>
      <c r="Z186" s="9"/>
    </row>
    <row r="187" spans="1:26" x14ac:dyDescent="0.25">
      <c r="A187" s="21" t="str">
        <f>IF(AND(COUNTBLANK('Bid Sheet'!$R$187:$R$187)=1,COUNTBLANK('Bid Sheet'!$U$187:$U$187)=1,COUNTBLANK('Bid Sheet'!$W$187:$Z$187)=4),"",IF(OR(COUNTBLANK('Bid Sheet'!$R$187:$R$187)&gt;0,COUNTBLANK('Bid Sheet'!$X$187:$X$187)&gt;0, SUM(COUNTBLANK('Bid Sheet'!$D$3:$E$3), COUNTBLANK('Bid Sheet'!$D$4:$E$4), COUNTBLANK('Bid Sheet'!$D$5:$E$5), COUNTBLANK('Bid Sheet'!$D$6:$E$6), COUNTBLANK('Bid Sheet'!$D$7:$E$7))&gt;0), "No", "Yes"))</f>
        <v/>
      </c>
      <c r="B187" s="21"/>
      <c r="C187" s="21" t="s">
        <v>301</v>
      </c>
      <c r="D187" s="21" t="s">
        <v>488</v>
      </c>
      <c r="E187" s="21" t="s">
        <v>489</v>
      </c>
      <c r="F187" s="21" t="s">
        <v>490</v>
      </c>
      <c r="G187" s="21" t="s">
        <v>491</v>
      </c>
      <c r="H187" s="21" t="s">
        <v>492</v>
      </c>
      <c r="I187" s="21" t="s">
        <v>821</v>
      </c>
      <c r="J187" s="21" t="s">
        <v>822</v>
      </c>
      <c r="K187" s="21" t="s">
        <v>804</v>
      </c>
      <c r="L187" s="22">
        <v>634</v>
      </c>
      <c r="M187" s="21" t="s">
        <v>496</v>
      </c>
      <c r="N187" s="21" t="s">
        <v>497</v>
      </c>
      <c r="O187" s="22">
        <v>285</v>
      </c>
      <c r="P187" s="22">
        <v>50</v>
      </c>
      <c r="Q187" s="23">
        <v>4.2</v>
      </c>
      <c r="R187" s="24"/>
      <c r="S187" s="21" t="s">
        <v>66</v>
      </c>
      <c r="T187" s="21"/>
      <c r="U187" s="12"/>
      <c r="V187" s="21"/>
      <c r="W187" s="12"/>
      <c r="X187" s="11"/>
      <c r="Y187" s="25"/>
      <c r="Z187" s="11"/>
    </row>
    <row r="188" spans="1:26" x14ac:dyDescent="0.25">
      <c r="A188" s="8" t="str">
        <f>IF(AND(COUNTBLANK('Bid Sheet'!$R$188:$R$188)=1,COUNTBLANK('Bid Sheet'!$U$188:$U$188)=1,COUNTBLANK('Bid Sheet'!$W$188:$Z$188)=4),"",IF(OR(COUNTBLANK('Bid Sheet'!$R$188:$R$188)&gt;0,COUNTBLANK('Bid Sheet'!$X$188:$X$188)&gt;0, SUM(COUNTBLANK('Bid Sheet'!$D$3:$E$3), COUNTBLANK('Bid Sheet'!$D$4:$E$4), COUNTBLANK('Bid Sheet'!$D$5:$E$5), COUNTBLANK('Bid Sheet'!$D$6:$E$6), COUNTBLANK('Bid Sheet'!$D$7:$E$7))&gt;0), "No", "Yes"))</f>
        <v/>
      </c>
      <c r="B188" s="8"/>
      <c r="C188" s="8" t="s">
        <v>302</v>
      </c>
      <c r="D188" s="8" t="s">
        <v>488</v>
      </c>
      <c r="E188" s="8" t="s">
        <v>489</v>
      </c>
      <c r="F188" s="8" t="s">
        <v>490</v>
      </c>
      <c r="G188" s="8" t="s">
        <v>491</v>
      </c>
      <c r="H188" s="8" t="s">
        <v>492</v>
      </c>
      <c r="I188" s="8" t="s">
        <v>823</v>
      </c>
      <c r="J188" s="8" t="s">
        <v>824</v>
      </c>
      <c r="K188" s="8" t="s">
        <v>804</v>
      </c>
      <c r="L188" s="17">
        <v>648</v>
      </c>
      <c r="M188" s="8" t="s">
        <v>496</v>
      </c>
      <c r="N188" s="8" t="s">
        <v>497</v>
      </c>
      <c r="O188" s="17">
        <v>292</v>
      </c>
      <c r="P188" s="17">
        <v>6</v>
      </c>
      <c r="Q188" s="18">
        <v>0.5</v>
      </c>
      <c r="R188" s="19"/>
      <c r="S188" s="8" t="s">
        <v>66</v>
      </c>
      <c r="T188" s="8"/>
      <c r="U188" s="10"/>
      <c r="V188" s="8"/>
      <c r="W188" s="10"/>
      <c r="X188" s="9"/>
      <c r="Y188" s="20"/>
      <c r="Z188" s="9"/>
    </row>
    <row r="189" spans="1:26" x14ac:dyDescent="0.25">
      <c r="A189" s="21" t="str">
        <f>IF(AND(COUNTBLANK('Bid Sheet'!$R$189:$R$189)=1,COUNTBLANK('Bid Sheet'!$U$189:$U$189)=1,COUNTBLANK('Bid Sheet'!$W$189:$Z$189)=4),"",IF(OR(COUNTBLANK('Bid Sheet'!$R$189:$R$189)&gt;0,COUNTBLANK('Bid Sheet'!$X$189:$X$189)&gt;0, SUM(COUNTBLANK('Bid Sheet'!$D$3:$E$3), COUNTBLANK('Bid Sheet'!$D$4:$E$4), COUNTBLANK('Bid Sheet'!$D$5:$E$5), COUNTBLANK('Bid Sheet'!$D$6:$E$6), COUNTBLANK('Bid Sheet'!$D$7:$E$7))&gt;0), "No", "Yes"))</f>
        <v/>
      </c>
      <c r="B189" s="21"/>
      <c r="C189" s="21" t="s">
        <v>303</v>
      </c>
      <c r="D189" s="21" t="s">
        <v>488</v>
      </c>
      <c r="E189" s="21" t="s">
        <v>489</v>
      </c>
      <c r="F189" s="21" t="s">
        <v>490</v>
      </c>
      <c r="G189" s="21" t="s">
        <v>491</v>
      </c>
      <c r="H189" s="21" t="s">
        <v>492</v>
      </c>
      <c r="I189" s="21" t="s">
        <v>825</v>
      </c>
      <c r="J189" s="21" t="s">
        <v>826</v>
      </c>
      <c r="K189" s="21" t="s">
        <v>804</v>
      </c>
      <c r="L189" s="22">
        <v>693</v>
      </c>
      <c r="M189" s="21" t="s">
        <v>496</v>
      </c>
      <c r="N189" s="21" t="s">
        <v>497</v>
      </c>
      <c r="O189" s="22">
        <v>301</v>
      </c>
      <c r="P189" s="22">
        <v>15</v>
      </c>
      <c r="Q189" s="23">
        <v>1.3</v>
      </c>
      <c r="R189" s="24"/>
      <c r="S189" s="21" t="s">
        <v>66</v>
      </c>
      <c r="T189" s="21"/>
      <c r="U189" s="12"/>
      <c r="V189" s="21"/>
      <c r="W189" s="12"/>
      <c r="X189" s="11"/>
      <c r="Y189" s="25"/>
      <c r="Z189" s="11"/>
    </row>
    <row r="190" spans="1:26" x14ac:dyDescent="0.25">
      <c r="A190" s="8" t="str">
        <f>IF(AND(COUNTBLANK('Bid Sheet'!$R$190:$R$190)=1,COUNTBLANK('Bid Sheet'!$U$190:$U$190)=1,COUNTBLANK('Bid Sheet'!$W$190:$Z$190)=4),"",IF(OR(COUNTBLANK('Bid Sheet'!$R$190:$R$190)&gt;0,COUNTBLANK('Bid Sheet'!$X$190:$X$190)&gt;0, SUM(COUNTBLANK('Bid Sheet'!$D$3:$E$3), COUNTBLANK('Bid Sheet'!$D$4:$E$4), COUNTBLANK('Bid Sheet'!$D$5:$E$5), COUNTBLANK('Bid Sheet'!$D$6:$E$6), COUNTBLANK('Bid Sheet'!$D$7:$E$7))&gt;0), "No", "Yes"))</f>
        <v/>
      </c>
      <c r="B190" s="8"/>
      <c r="C190" s="8" t="s">
        <v>304</v>
      </c>
      <c r="D190" s="8" t="s">
        <v>488</v>
      </c>
      <c r="E190" s="8" t="s">
        <v>489</v>
      </c>
      <c r="F190" s="8" t="s">
        <v>490</v>
      </c>
      <c r="G190" s="8" t="s">
        <v>491</v>
      </c>
      <c r="H190" s="8" t="s">
        <v>492</v>
      </c>
      <c r="I190" s="8" t="s">
        <v>827</v>
      </c>
      <c r="J190" s="8" t="s">
        <v>828</v>
      </c>
      <c r="K190" s="8" t="s">
        <v>829</v>
      </c>
      <c r="L190" s="17">
        <v>380</v>
      </c>
      <c r="M190" s="8" t="s">
        <v>496</v>
      </c>
      <c r="N190" s="8" t="s">
        <v>497</v>
      </c>
      <c r="O190" s="17">
        <v>151</v>
      </c>
      <c r="P190" s="17">
        <v>110</v>
      </c>
      <c r="Q190" s="18">
        <v>9.1999999999999993</v>
      </c>
      <c r="R190" s="19"/>
      <c r="S190" s="8" t="s">
        <v>66</v>
      </c>
      <c r="T190" s="8" t="s">
        <v>501</v>
      </c>
      <c r="U190" s="10"/>
      <c r="V190" s="8"/>
      <c r="W190" s="10"/>
      <c r="X190" s="9"/>
      <c r="Y190" s="20"/>
      <c r="Z190" s="9"/>
    </row>
    <row r="191" spans="1:26" x14ac:dyDescent="0.25">
      <c r="A191" s="21" t="str">
        <f>IF(AND(COUNTBLANK('Bid Sheet'!$R$191:$R$191)=1,COUNTBLANK('Bid Sheet'!$U$191:$U$191)=1,COUNTBLANK('Bid Sheet'!$W$191:$Z$191)=4),"",IF(OR(COUNTBLANK('Bid Sheet'!$R$191:$R$191)&gt;0,COUNTBLANK('Bid Sheet'!$X$191:$X$191)&gt;0, SUM(COUNTBLANK('Bid Sheet'!$D$3:$E$3), COUNTBLANK('Bid Sheet'!$D$4:$E$4), COUNTBLANK('Bid Sheet'!$D$5:$E$5), COUNTBLANK('Bid Sheet'!$D$6:$E$6), COUNTBLANK('Bid Sheet'!$D$7:$E$7))&gt;0), "No", "Yes"))</f>
        <v/>
      </c>
      <c r="B191" s="21"/>
      <c r="C191" s="21" t="s">
        <v>305</v>
      </c>
      <c r="D191" s="21" t="s">
        <v>488</v>
      </c>
      <c r="E191" s="21" t="s">
        <v>489</v>
      </c>
      <c r="F191" s="21" t="s">
        <v>490</v>
      </c>
      <c r="G191" s="21" t="s">
        <v>491</v>
      </c>
      <c r="H191" s="21" t="s">
        <v>492</v>
      </c>
      <c r="I191" s="21" t="s">
        <v>830</v>
      </c>
      <c r="J191" s="21" t="s">
        <v>831</v>
      </c>
      <c r="K191" s="21" t="s">
        <v>829</v>
      </c>
      <c r="L191" s="22">
        <v>411</v>
      </c>
      <c r="M191" s="21" t="s">
        <v>496</v>
      </c>
      <c r="N191" s="21" t="s">
        <v>497</v>
      </c>
      <c r="O191" s="22">
        <v>165</v>
      </c>
      <c r="P191" s="22">
        <v>34</v>
      </c>
      <c r="Q191" s="23">
        <v>2.8</v>
      </c>
      <c r="R191" s="24"/>
      <c r="S191" s="21" t="s">
        <v>66</v>
      </c>
      <c r="T191" s="21"/>
      <c r="U191" s="12"/>
      <c r="V191" s="21"/>
      <c r="W191" s="12"/>
      <c r="X191" s="11"/>
      <c r="Y191" s="25"/>
      <c r="Z191" s="11"/>
    </row>
    <row r="192" spans="1:26" x14ac:dyDescent="0.25">
      <c r="A192" s="8" t="str">
        <f>IF(AND(COUNTBLANK('Bid Sheet'!$R$192:$R$192)=1,COUNTBLANK('Bid Sheet'!$U$192:$U$192)=1,COUNTBLANK('Bid Sheet'!$W$192:$Z$192)=4),"",IF(OR(COUNTBLANK('Bid Sheet'!$R$192:$R$192)&gt;0,COUNTBLANK('Bid Sheet'!$X$192:$X$192)&gt;0, SUM(COUNTBLANK('Bid Sheet'!$D$3:$E$3), COUNTBLANK('Bid Sheet'!$D$4:$E$4), COUNTBLANK('Bid Sheet'!$D$5:$E$5), COUNTBLANK('Bid Sheet'!$D$6:$E$6), COUNTBLANK('Bid Sheet'!$D$7:$E$7))&gt;0), "No", "Yes"))</f>
        <v/>
      </c>
      <c r="B192" s="8"/>
      <c r="C192" s="8" t="s">
        <v>306</v>
      </c>
      <c r="D192" s="8" t="s">
        <v>488</v>
      </c>
      <c r="E192" s="8" t="s">
        <v>489</v>
      </c>
      <c r="F192" s="8" t="s">
        <v>490</v>
      </c>
      <c r="G192" s="8" t="s">
        <v>491</v>
      </c>
      <c r="H192" s="8" t="s">
        <v>492</v>
      </c>
      <c r="I192" s="8" t="s">
        <v>832</v>
      </c>
      <c r="J192" s="8" t="s">
        <v>833</v>
      </c>
      <c r="K192" s="8" t="s">
        <v>829</v>
      </c>
      <c r="L192" s="17">
        <v>188</v>
      </c>
      <c r="M192" s="8" t="s">
        <v>496</v>
      </c>
      <c r="N192" s="8" t="s">
        <v>497</v>
      </c>
      <c r="O192" s="17">
        <v>80</v>
      </c>
      <c r="P192" s="17">
        <v>100</v>
      </c>
      <c r="Q192" s="18">
        <v>8.3000000000000007</v>
      </c>
      <c r="R192" s="19"/>
      <c r="S192" s="8" t="s">
        <v>66</v>
      </c>
      <c r="T192" s="8" t="s">
        <v>501</v>
      </c>
      <c r="U192" s="10"/>
      <c r="V192" s="8"/>
      <c r="W192" s="10"/>
      <c r="X192" s="9"/>
      <c r="Y192" s="20"/>
      <c r="Z192" s="9"/>
    </row>
    <row r="193" spans="1:26" x14ac:dyDescent="0.25">
      <c r="A193" s="21" t="str">
        <f>IF(AND(COUNTBLANK('Bid Sheet'!$R$193:$R$193)=1,COUNTBLANK('Bid Sheet'!$U$193:$U$193)=1,COUNTBLANK('Bid Sheet'!$W$193:$Z$193)=4),"",IF(OR(COUNTBLANK('Bid Sheet'!$R$193:$R$193)&gt;0,COUNTBLANK('Bid Sheet'!$X$193:$X$193)&gt;0, SUM(COUNTBLANK('Bid Sheet'!$D$3:$E$3), COUNTBLANK('Bid Sheet'!$D$4:$E$4), COUNTBLANK('Bid Sheet'!$D$5:$E$5), COUNTBLANK('Bid Sheet'!$D$6:$E$6), COUNTBLANK('Bid Sheet'!$D$7:$E$7))&gt;0), "No", "Yes"))</f>
        <v/>
      </c>
      <c r="B193" s="21"/>
      <c r="C193" s="21" t="s">
        <v>307</v>
      </c>
      <c r="D193" s="21" t="s">
        <v>488</v>
      </c>
      <c r="E193" s="21" t="s">
        <v>489</v>
      </c>
      <c r="F193" s="21" t="s">
        <v>490</v>
      </c>
      <c r="G193" s="21" t="s">
        <v>491</v>
      </c>
      <c r="H193" s="21" t="s">
        <v>492</v>
      </c>
      <c r="I193" s="21" t="s">
        <v>834</v>
      </c>
      <c r="J193" s="21" t="s">
        <v>835</v>
      </c>
      <c r="K193" s="21" t="s">
        <v>836</v>
      </c>
      <c r="L193" s="22">
        <v>1853</v>
      </c>
      <c r="M193" s="21" t="s">
        <v>496</v>
      </c>
      <c r="N193" s="21" t="s">
        <v>497</v>
      </c>
      <c r="O193" s="22">
        <v>828</v>
      </c>
      <c r="P193" s="22">
        <v>52</v>
      </c>
      <c r="Q193" s="23">
        <v>4.3</v>
      </c>
      <c r="R193" s="24"/>
      <c r="S193" s="21" t="s">
        <v>66</v>
      </c>
      <c r="T193" s="21"/>
      <c r="U193" s="12"/>
      <c r="V193" s="21"/>
      <c r="W193" s="12"/>
      <c r="X193" s="11"/>
      <c r="Y193" s="25"/>
      <c r="Z193" s="11"/>
    </row>
    <row r="194" spans="1:26" x14ac:dyDescent="0.25">
      <c r="A194" s="8" t="str">
        <f>IF(AND(COUNTBLANK('Bid Sheet'!$R$194:$R$194)=1,COUNTBLANK('Bid Sheet'!$U$194:$U$194)=1,COUNTBLANK('Bid Sheet'!$W$194:$Z$194)=4),"",IF(OR(COUNTBLANK('Bid Sheet'!$R$194:$R$194)&gt;0,COUNTBLANK('Bid Sheet'!$X$194:$X$194)&gt;0, SUM(COUNTBLANK('Bid Sheet'!$D$3:$E$3), COUNTBLANK('Bid Sheet'!$D$4:$E$4), COUNTBLANK('Bid Sheet'!$D$5:$E$5), COUNTBLANK('Bid Sheet'!$D$6:$E$6), COUNTBLANK('Bid Sheet'!$D$7:$E$7))&gt;0), "No", "Yes"))</f>
        <v/>
      </c>
      <c r="B194" s="8"/>
      <c r="C194" s="8" t="s">
        <v>308</v>
      </c>
      <c r="D194" s="8" t="s">
        <v>488</v>
      </c>
      <c r="E194" s="8" t="s">
        <v>489</v>
      </c>
      <c r="F194" s="8" t="s">
        <v>490</v>
      </c>
      <c r="G194" s="8" t="s">
        <v>491</v>
      </c>
      <c r="H194" s="8" t="s">
        <v>492</v>
      </c>
      <c r="I194" s="8" t="s">
        <v>837</v>
      </c>
      <c r="J194" s="8" t="s">
        <v>838</v>
      </c>
      <c r="K194" s="8" t="s">
        <v>836</v>
      </c>
      <c r="L194" s="17">
        <v>1813</v>
      </c>
      <c r="M194" s="8" t="s">
        <v>496</v>
      </c>
      <c r="N194" s="8" t="s">
        <v>497</v>
      </c>
      <c r="O194" s="17">
        <v>811</v>
      </c>
      <c r="P194" s="17">
        <v>26</v>
      </c>
      <c r="Q194" s="18">
        <v>2.2000000000000002</v>
      </c>
      <c r="R194" s="19"/>
      <c r="S194" s="8" t="s">
        <v>66</v>
      </c>
      <c r="T194" s="8"/>
      <c r="U194" s="10"/>
      <c r="V194" s="8"/>
      <c r="W194" s="10"/>
      <c r="X194" s="9"/>
      <c r="Y194" s="20"/>
      <c r="Z194" s="9"/>
    </row>
    <row r="195" spans="1:26" x14ac:dyDescent="0.25">
      <c r="A195" s="21" t="str">
        <f>IF(AND(COUNTBLANK('Bid Sheet'!$R$195:$R$195)=1,COUNTBLANK('Bid Sheet'!$U$195:$U$195)=1,COUNTBLANK('Bid Sheet'!$W$195:$Z$195)=4),"",IF(OR(COUNTBLANK('Bid Sheet'!$R$195:$R$195)&gt;0,COUNTBLANK('Bid Sheet'!$X$195:$X$195)&gt;0, SUM(COUNTBLANK('Bid Sheet'!$D$3:$E$3), COUNTBLANK('Bid Sheet'!$D$4:$E$4), COUNTBLANK('Bid Sheet'!$D$5:$E$5), COUNTBLANK('Bid Sheet'!$D$6:$E$6), COUNTBLANK('Bid Sheet'!$D$7:$E$7))&gt;0), "No", "Yes"))</f>
        <v/>
      </c>
      <c r="B195" s="21"/>
      <c r="C195" s="21" t="s">
        <v>309</v>
      </c>
      <c r="D195" s="21" t="s">
        <v>488</v>
      </c>
      <c r="E195" s="21" t="s">
        <v>489</v>
      </c>
      <c r="F195" s="21" t="s">
        <v>502</v>
      </c>
      <c r="G195" s="21" t="s">
        <v>503</v>
      </c>
      <c r="H195" s="21" t="s">
        <v>504</v>
      </c>
      <c r="I195" s="21" t="s">
        <v>839</v>
      </c>
      <c r="J195" s="21" t="s">
        <v>840</v>
      </c>
      <c r="K195" s="21" t="s">
        <v>504</v>
      </c>
      <c r="L195" s="22">
        <v>249</v>
      </c>
      <c r="M195" s="21" t="s">
        <v>496</v>
      </c>
      <c r="N195" s="21" t="s">
        <v>497</v>
      </c>
      <c r="O195" s="22">
        <v>145</v>
      </c>
      <c r="P195" s="22">
        <v>36</v>
      </c>
      <c r="Q195" s="23">
        <v>3</v>
      </c>
      <c r="R195" s="24"/>
      <c r="S195" s="21" t="s">
        <v>66</v>
      </c>
      <c r="T195" s="21"/>
      <c r="U195" s="12"/>
      <c r="V195" s="21"/>
      <c r="W195" s="12"/>
      <c r="X195" s="11"/>
      <c r="Y195" s="25"/>
      <c r="Z195" s="11"/>
    </row>
    <row r="196" spans="1:26" x14ac:dyDescent="0.25">
      <c r="A196" s="8" t="str">
        <f>IF(AND(COUNTBLANK('Bid Sheet'!$R$196:$R$196)=1,COUNTBLANK('Bid Sheet'!$U$196:$U$196)=1,COUNTBLANK('Bid Sheet'!$W$196:$Z$196)=4),"",IF(OR(COUNTBLANK('Bid Sheet'!$R$196:$R$196)&gt;0,COUNTBLANK('Bid Sheet'!$X$196:$X$196)&gt;0, SUM(COUNTBLANK('Bid Sheet'!$D$3:$E$3), COUNTBLANK('Bid Sheet'!$D$4:$E$4), COUNTBLANK('Bid Sheet'!$D$5:$E$5), COUNTBLANK('Bid Sheet'!$D$6:$E$6), COUNTBLANK('Bid Sheet'!$D$7:$E$7))&gt;0), "No", "Yes"))</f>
        <v/>
      </c>
      <c r="B196" s="8"/>
      <c r="C196" s="8" t="s">
        <v>310</v>
      </c>
      <c r="D196" s="8" t="s">
        <v>488</v>
      </c>
      <c r="E196" s="8" t="s">
        <v>489</v>
      </c>
      <c r="F196" s="8" t="s">
        <v>502</v>
      </c>
      <c r="G196" s="8" t="s">
        <v>503</v>
      </c>
      <c r="H196" s="8" t="s">
        <v>504</v>
      </c>
      <c r="I196" s="8" t="s">
        <v>841</v>
      </c>
      <c r="J196" s="8" t="s">
        <v>842</v>
      </c>
      <c r="K196" s="8" t="s">
        <v>504</v>
      </c>
      <c r="L196" s="17">
        <v>53</v>
      </c>
      <c r="M196" s="8" t="s">
        <v>496</v>
      </c>
      <c r="N196" s="8" t="s">
        <v>497</v>
      </c>
      <c r="O196" s="17">
        <v>34</v>
      </c>
      <c r="P196" s="17">
        <v>32</v>
      </c>
      <c r="Q196" s="18">
        <v>2.7</v>
      </c>
      <c r="R196" s="19"/>
      <c r="S196" s="8" t="s">
        <v>66</v>
      </c>
      <c r="T196" s="8"/>
      <c r="U196" s="10"/>
      <c r="V196" s="8"/>
      <c r="W196" s="10"/>
      <c r="X196" s="9"/>
      <c r="Y196" s="20"/>
      <c r="Z196" s="9"/>
    </row>
    <row r="197" spans="1:26" x14ac:dyDescent="0.25">
      <c r="A197" s="21" t="str">
        <f>IF(AND(COUNTBLANK('Bid Sheet'!$R$197:$R$197)=1,COUNTBLANK('Bid Sheet'!$U$197:$U$197)=1,COUNTBLANK('Bid Sheet'!$W$197:$Z$197)=4),"",IF(OR(COUNTBLANK('Bid Sheet'!$R$197:$R$197)&gt;0,COUNTBLANK('Bid Sheet'!$X$197:$X$197)&gt;0, SUM(COUNTBLANK('Bid Sheet'!$D$3:$E$3), COUNTBLANK('Bid Sheet'!$D$4:$E$4), COUNTBLANK('Bid Sheet'!$D$5:$E$5), COUNTBLANK('Bid Sheet'!$D$6:$E$6), COUNTBLANK('Bid Sheet'!$D$7:$E$7))&gt;0), "No", "Yes"))</f>
        <v/>
      </c>
      <c r="B197" s="21"/>
      <c r="C197" s="21" t="s">
        <v>311</v>
      </c>
      <c r="D197" s="21" t="s">
        <v>488</v>
      </c>
      <c r="E197" s="21" t="s">
        <v>489</v>
      </c>
      <c r="F197" s="21" t="s">
        <v>490</v>
      </c>
      <c r="G197" s="21" t="s">
        <v>491</v>
      </c>
      <c r="H197" s="21" t="s">
        <v>492</v>
      </c>
      <c r="I197" s="21" t="s">
        <v>843</v>
      </c>
      <c r="J197" s="21" t="s">
        <v>844</v>
      </c>
      <c r="K197" s="21" t="s">
        <v>504</v>
      </c>
      <c r="L197" s="22">
        <v>873</v>
      </c>
      <c r="M197" s="21" t="s">
        <v>496</v>
      </c>
      <c r="N197" s="21" t="s">
        <v>497</v>
      </c>
      <c r="O197" s="22">
        <v>393</v>
      </c>
      <c r="P197" s="22">
        <v>38</v>
      </c>
      <c r="Q197" s="23">
        <v>3.2</v>
      </c>
      <c r="R197" s="24"/>
      <c r="S197" s="21" t="s">
        <v>66</v>
      </c>
      <c r="T197" s="21"/>
      <c r="U197" s="12"/>
      <c r="V197" s="21"/>
      <c r="W197" s="12"/>
      <c r="X197" s="11"/>
      <c r="Y197" s="25"/>
      <c r="Z197" s="11"/>
    </row>
    <row r="198" spans="1:26" x14ac:dyDescent="0.25">
      <c r="A198" s="8" t="str">
        <f>IF(AND(COUNTBLANK('Bid Sheet'!$R$198:$R$198)=1,COUNTBLANK('Bid Sheet'!$U$198:$U$198)=1,COUNTBLANK('Bid Sheet'!$W$198:$Z$198)=4),"",IF(OR(COUNTBLANK('Bid Sheet'!$R$198:$R$198)&gt;0,COUNTBLANK('Bid Sheet'!$X$198:$X$198)&gt;0, SUM(COUNTBLANK('Bid Sheet'!$D$3:$E$3), COUNTBLANK('Bid Sheet'!$D$4:$E$4), COUNTBLANK('Bid Sheet'!$D$5:$E$5), COUNTBLANK('Bid Sheet'!$D$6:$E$6), COUNTBLANK('Bid Sheet'!$D$7:$E$7))&gt;0), "No", "Yes"))</f>
        <v/>
      </c>
      <c r="B198" s="8"/>
      <c r="C198" s="8" t="s">
        <v>312</v>
      </c>
      <c r="D198" s="8" t="s">
        <v>488</v>
      </c>
      <c r="E198" s="8" t="s">
        <v>489</v>
      </c>
      <c r="F198" s="8" t="s">
        <v>490</v>
      </c>
      <c r="G198" s="8" t="s">
        <v>491</v>
      </c>
      <c r="H198" s="8" t="s">
        <v>492</v>
      </c>
      <c r="I198" s="8" t="s">
        <v>845</v>
      </c>
      <c r="J198" s="8" t="s">
        <v>846</v>
      </c>
      <c r="K198" s="8" t="s">
        <v>504</v>
      </c>
      <c r="L198" s="17">
        <v>889</v>
      </c>
      <c r="M198" s="8" t="s">
        <v>496</v>
      </c>
      <c r="N198" s="8" t="s">
        <v>497</v>
      </c>
      <c r="O198" s="17">
        <v>405</v>
      </c>
      <c r="P198" s="17">
        <v>28</v>
      </c>
      <c r="Q198" s="18">
        <v>2.2999999999999998</v>
      </c>
      <c r="R198" s="19"/>
      <c r="S198" s="8" t="s">
        <v>66</v>
      </c>
      <c r="T198" s="8"/>
      <c r="U198" s="10"/>
      <c r="V198" s="8"/>
      <c r="W198" s="10"/>
      <c r="X198" s="9"/>
      <c r="Y198" s="20"/>
      <c r="Z198" s="9"/>
    </row>
    <row r="199" spans="1:26" x14ac:dyDescent="0.25">
      <c r="A199" s="21" t="str">
        <f>IF(AND(COUNTBLANK('Bid Sheet'!$R$199:$R$199)=1,COUNTBLANK('Bid Sheet'!$U$199:$U$199)=1,COUNTBLANK('Bid Sheet'!$W$199:$Z$199)=4),"",IF(OR(COUNTBLANK('Bid Sheet'!$R$199:$R$199)&gt;0,COUNTBLANK('Bid Sheet'!$X$199:$X$199)&gt;0, SUM(COUNTBLANK('Bid Sheet'!$D$3:$E$3), COUNTBLANK('Bid Sheet'!$D$4:$E$4), COUNTBLANK('Bid Sheet'!$D$5:$E$5), COUNTBLANK('Bid Sheet'!$D$6:$E$6), COUNTBLANK('Bid Sheet'!$D$7:$E$7))&gt;0), "No", "Yes"))</f>
        <v/>
      </c>
      <c r="B199" s="21"/>
      <c r="C199" s="21" t="s">
        <v>313</v>
      </c>
      <c r="D199" s="21" t="s">
        <v>488</v>
      </c>
      <c r="E199" s="21" t="s">
        <v>489</v>
      </c>
      <c r="F199" s="21" t="s">
        <v>490</v>
      </c>
      <c r="G199" s="21" t="s">
        <v>491</v>
      </c>
      <c r="H199" s="21" t="s">
        <v>492</v>
      </c>
      <c r="I199" s="21" t="s">
        <v>847</v>
      </c>
      <c r="J199" s="21" t="s">
        <v>848</v>
      </c>
      <c r="K199" s="21" t="s">
        <v>504</v>
      </c>
      <c r="L199" s="22">
        <v>1104</v>
      </c>
      <c r="M199" s="21" t="s">
        <v>496</v>
      </c>
      <c r="N199" s="21" t="s">
        <v>497</v>
      </c>
      <c r="O199" s="22">
        <v>532</v>
      </c>
      <c r="P199" s="22">
        <v>12</v>
      </c>
      <c r="Q199" s="23">
        <v>1</v>
      </c>
      <c r="R199" s="24"/>
      <c r="S199" s="21" t="s">
        <v>66</v>
      </c>
      <c r="T199" s="21" t="s">
        <v>501</v>
      </c>
      <c r="U199" s="12"/>
      <c r="V199" s="21"/>
      <c r="W199" s="12"/>
      <c r="X199" s="11"/>
      <c r="Y199" s="25"/>
      <c r="Z199" s="11"/>
    </row>
    <row r="200" spans="1:26" x14ac:dyDescent="0.25">
      <c r="A200" s="8" t="str">
        <f>IF(AND(COUNTBLANK('Bid Sheet'!$R$200:$R$200)=1,COUNTBLANK('Bid Sheet'!$U$200:$U$200)=1,COUNTBLANK('Bid Sheet'!$W$200:$Z$200)=4),"",IF(OR(COUNTBLANK('Bid Sheet'!$R$200:$R$200)&gt;0,COUNTBLANK('Bid Sheet'!$X$200:$X$200)&gt;0, SUM(COUNTBLANK('Bid Sheet'!$D$3:$E$3), COUNTBLANK('Bid Sheet'!$D$4:$E$4), COUNTBLANK('Bid Sheet'!$D$5:$E$5), COUNTBLANK('Bid Sheet'!$D$6:$E$6), COUNTBLANK('Bid Sheet'!$D$7:$E$7))&gt;0), "No", "Yes"))</f>
        <v/>
      </c>
      <c r="B200" s="8"/>
      <c r="C200" s="8" t="s">
        <v>314</v>
      </c>
      <c r="D200" s="8" t="s">
        <v>488</v>
      </c>
      <c r="E200" s="8" t="s">
        <v>489</v>
      </c>
      <c r="F200" s="8" t="s">
        <v>502</v>
      </c>
      <c r="G200" s="8" t="s">
        <v>503</v>
      </c>
      <c r="H200" s="8" t="s">
        <v>504</v>
      </c>
      <c r="I200" s="8" t="s">
        <v>849</v>
      </c>
      <c r="J200" s="8" t="s">
        <v>850</v>
      </c>
      <c r="K200" s="8" t="s">
        <v>504</v>
      </c>
      <c r="L200" s="17">
        <v>178</v>
      </c>
      <c r="M200" s="8" t="s">
        <v>496</v>
      </c>
      <c r="N200" s="8" t="s">
        <v>497</v>
      </c>
      <c r="O200" s="17">
        <v>103</v>
      </c>
      <c r="P200" s="17">
        <v>102</v>
      </c>
      <c r="Q200" s="18">
        <v>8.5</v>
      </c>
      <c r="R200" s="19"/>
      <c r="S200" s="8" t="s">
        <v>66</v>
      </c>
      <c r="T200" s="8" t="s">
        <v>501</v>
      </c>
      <c r="U200" s="10"/>
      <c r="V200" s="8"/>
      <c r="W200" s="10"/>
      <c r="X200" s="9"/>
      <c r="Y200" s="20"/>
      <c r="Z200" s="9"/>
    </row>
    <row r="201" spans="1:26" x14ac:dyDescent="0.25">
      <c r="A201" s="21" t="str">
        <f>IF(AND(COUNTBLANK('Bid Sheet'!$R$201:$R$201)=1,COUNTBLANK('Bid Sheet'!$U$201:$U$201)=1,COUNTBLANK('Bid Sheet'!$W$201:$Z$201)=4),"",IF(OR(COUNTBLANK('Bid Sheet'!$R$201:$R$201)&gt;0,COUNTBLANK('Bid Sheet'!$X$201:$X$201)&gt;0, SUM(COUNTBLANK('Bid Sheet'!$D$3:$E$3), COUNTBLANK('Bid Sheet'!$D$4:$E$4), COUNTBLANK('Bid Sheet'!$D$5:$E$5), COUNTBLANK('Bid Sheet'!$D$6:$E$6), COUNTBLANK('Bid Sheet'!$D$7:$E$7))&gt;0), "No", "Yes"))</f>
        <v/>
      </c>
      <c r="B201" s="21"/>
      <c r="C201" s="21" t="s">
        <v>315</v>
      </c>
      <c r="D201" s="21" t="s">
        <v>488</v>
      </c>
      <c r="E201" s="21" t="s">
        <v>489</v>
      </c>
      <c r="F201" s="21" t="s">
        <v>502</v>
      </c>
      <c r="G201" s="21" t="s">
        <v>503</v>
      </c>
      <c r="H201" s="21" t="s">
        <v>504</v>
      </c>
      <c r="I201" s="21" t="s">
        <v>851</v>
      </c>
      <c r="J201" s="21" t="s">
        <v>852</v>
      </c>
      <c r="K201" s="21" t="s">
        <v>504</v>
      </c>
      <c r="L201" s="22">
        <v>80</v>
      </c>
      <c r="M201" s="21" t="s">
        <v>496</v>
      </c>
      <c r="N201" s="21" t="s">
        <v>497</v>
      </c>
      <c r="O201" s="22">
        <v>49</v>
      </c>
      <c r="P201" s="22">
        <v>24</v>
      </c>
      <c r="Q201" s="23">
        <v>2</v>
      </c>
      <c r="R201" s="24"/>
      <c r="S201" s="21" t="s">
        <v>66</v>
      </c>
      <c r="T201" s="21"/>
      <c r="U201" s="12"/>
      <c r="V201" s="21"/>
      <c r="W201" s="12"/>
      <c r="X201" s="11"/>
      <c r="Y201" s="25"/>
      <c r="Z201" s="11"/>
    </row>
    <row r="202" spans="1:26" x14ac:dyDescent="0.25">
      <c r="A202" s="8" t="str">
        <f>IF(AND(COUNTBLANK('Bid Sheet'!$R$202:$R$202)=1,COUNTBLANK('Bid Sheet'!$U$202:$U$202)=1,COUNTBLANK('Bid Sheet'!$W$202:$Z$202)=4),"",IF(OR(COUNTBLANK('Bid Sheet'!$R$202:$R$202)&gt;0,COUNTBLANK('Bid Sheet'!$X$202:$X$202)&gt;0, SUM(COUNTBLANK('Bid Sheet'!$D$3:$E$3), COUNTBLANK('Bid Sheet'!$D$4:$E$4), COUNTBLANK('Bid Sheet'!$D$5:$E$5), COUNTBLANK('Bid Sheet'!$D$6:$E$6), COUNTBLANK('Bid Sheet'!$D$7:$E$7))&gt;0), "No", "Yes"))</f>
        <v/>
      </c>
      <c r="B202" s="8"/>
      <c r="C202" s="8" t="s">
        <v>316</v>
      </c>
      <c r="D202" s="8" t="s">
        <v>488</v>
      </c>
      <c r="E202" s="8" t="s">
        <v>489</v>
      </c>
      <c r="F202" s="8" t="s">
        <v>502</v>
      </c>
      <c r="G202" s="8" t="s">
        <v>503</v>
      </c>
      <c r="H202" s="8" t="s">
        <v>504</v>
      </c>
      <c r="I202" s="8" t="s">
        <v>853</v>
      </c>
      <c r="J202" s="8" t="s">
        <v>854</v>
      </c>
      <c r="K202" s="8" t="s">
        <v>504</v>
      </c>
      <c r="L202" s="17">
        <v>141</v>
      </c>
      <c r="M202" s="8" t="s">
        <v>496</v>
      </c>
      <c r="N202" s="8" t="s">
        <v>497</v>
      </c>
      <c r="O202" s="17">
        <v>83</v>
      </c>
      <c r="P202" s="17">
        <v>48</v>
      </c>
      <c r="Q202" s="18">
        <v>4</v>
      </c>
      <c r="R202" s="19"/>
      <c r="S202" s="8" t="s">
        <v>66</v>
      </c>
      <c r="T202" s="8"/>
      <c r="U202" s="10"/>
      <c r="V202" s="8"/>
      <c r="W202" s="10"/>
      <c r="X202" s="9"/>
      <c r="Y202" s="20"/>
      <c r="Z202" s="9"/>
    </row>
    <row r="203" spans="1:26" x14ac:dyDescent="0.25">
      <c r="A203" s="21" t="str">
        <f>IF(AND(COUNTBLANK('Bid Sheet'!$R$203:$R$203)=1,COUNTBLANK('Bid Sheet'!$U$203:$U$203)=1,COUNTBLANK('Bid Sheet'!$W$203:$Z$203)=4),"",IF(OR(COUNTBLANK('Bid Sheet'!$R$203:$R$203)&gt;0,COUNTBLANK('Bid Sheet'!$X$203:$X$203)&gt;0, SUM(COUNTBLANK('Bid Sheet'!$D$3:$E$3), COUNTBLANK('Bid Sheet'!$D$4:$E$4), COUNTBLANK('Bid Sheet'!$D$5:$E$5), COUNTBLANK('Bid Sheet'!$D$6:$E$6), COUNTBLANK('Bid Sheet'!$D$7:$E$7))&gt;0), "No", "Yes"))</f>
        <v/>
      </c>
      <c r="B203" s="21"/>
      <c r="C203" s="21" t="s">
        <v>317</v>
      </c>
      <c r="D203" s="21" t="s">
        <v>488</v>
      </c>
      <c r="E203" s="21" t="s">
        <v>489</v>
      </c>
      <c r="F203" s="21" t="s">
        <v>502</v>
      </c>
      <c r="G203" s="21" t="s">
        <v>503</v>
      </c>
      <c r="H203" s="21" t="s">
        <v>504</v>
      </c>
      <c r="I203" s="21" t="s">
        <v>847</v>
      </c>
      <c r="J203" s="21" t="s">
        <v>848</v>
      </c>
      <c r="K203" s="21" t="s">
        <v>504</v>
      </c>
      <c r="L203" s="22">
        <v>29</v>
      </c>
      <c r="M203" s="21" t="s">
        <v>496</v>
      </c>
      <c r="N203" s="21" t="s">
        <v>497</v>
      </c>
      <c r="O203" s="22">
        <v>21</v>
      </c>
      <c r="P203" s="22">
        <v>200</v>
      </c>
      <c r="Q203" s="23">
        <v>16.7</v>
      </c>
      <c r="R203" s="24"/>
      <c r="S203" s="21" t="s">
        <v>66</v>
      </c>
      <c r="T203" s="21" t="s">
        <v>501</v>
      </c>
      <c r="U203" s="12"/>
      <c r="V203" s="21"/>
      <c r="W203" s="12"/>
      <c r="X203" s="11"/>
      <c r="Y203" s="25"/>
      <c r="Z203" s="11"/>
    </row>
    <row r="204" spans="1:26" x14ac:dyDescent="0.25">
      <c r="A204" s="8" t="str">
        <f>IF(AND(COUNTBLANK('Bid Sheet'!$R$204:$R$204)=1,COUNTBLANK('Bid Sheet'!$U$204:$U$204)=1,COUNTBLANK('Bid Sheet'!$W$204:$Z$204)=4),"",IF(OR(COUNTBLANK('Bid Sheet'!$R$204:$R$204)&gt;0,COUNTBLANK('Bid Sheet'!$X$204:$X$204)&gt;0, SUM(COUNTBLANK('Bid Sheet'!$D$3:$E$3), COUNTBLANK('Bid Sheet'!$D$4:$E$4), COUNTBLANK('Bid Sheet'!$D$5:$E$5), COUNTBLANK('Bid Sheet'!$D$6:$E$6), COUNTBLANK('Bid Sheet'!$D$7:$E$7))&gt;0), "No", "Yes"))</f>
        <v/>
      </c>
      <c r="B204" s="8"/>
      <c r="C204" s="8" t="s">
        <v>318</v>
      </c>
      <c r="D204" s="8" t="s">
        <v>488</v>
      </c>
      <c r="E204" s="8" t="s">
        <v>489</v>
      </c>
      <c r="F204" s="8" t="s">
        <v>502</v>
      </c>
      <c r="G204" s="8" t="s">
        <v>503</v>
      </c>
      <c r="H204" s="8" t="s">
        <v>504</v>
      </c>
      <c r="I204" s="8" t="s">
        <v>855</v>
      </c>
      <c r="J204" s="8" t="s">
        <v>856</v>
      </c>
      <c r="K204" s="8" t="s">
        <v>504</v>
      </c>
      <c r="L204" s="17">
        <v>36</v>
      </c>
      <c r="M204" s="8" t="s">
        <v>496</v>
      </c>
      <c r="N204" s="8" t="s">
        <v>497</v>
      </c>
      <c r="O204" s="17">
        <v>28</v>
      </c>
      <c r="P204" s="17">
        <v>30</v>
      </c>
      <c r="Q204" s="18">
        <v>2.5</v>
      </c>
      <c r="R204" s="19"/>
      <c r="S204" s="8" t="s">
        <v>66</v>
      </c>
      <c r="T204" s="8"/>
      <c r="U204" s="10"/>
      <c r="V204" s="8"/>
      <c r="W204" s="10"/>
      <c r="X204" s="9"/>
      <c r="Y204" s="20"/>
      <c r="Z204" s="9"/>
    </row>
    <row r="205" spans="1:26" x14ac:dyDescent="0.25">
      <c r="A205" s="21" t="str">
        <f>IF(AND(COUNTBLANK('Bid Sheet'!$R$205:$R$205)=1,COUNTBLANK('Bid Sheet'!$U$205:$U$205)=1,COUNTBLANK('Bid Sheet'!$W$205:$Z$205)=4),"",IF(OR(COUNTBLANK('Bid Sheet'!$R$205:$R$205)&gt;0,COUNTBLANK('Bid Sheet'!$X$205:$X$205)&gt;0, SUM(COUNTBLANK('Bid Sheet'!$D$3:$E$3), COUNTBLANK('Bid Sheet'!$D$4:$E$4), COUNTBLANK('Bid Sheet'!$D$5:$E$5), COUNTBLANK('Bid Sheet'!$D$6:$E$6), COUNTBLANK('Bid Sheet'!$D$7:$E$7))&gt;0), "No", "Yes"))</f>
        <v/>
      </c>
      <c r="B205" s="21"/>
      <c r="C205" s="21" t="s">
        <v>319</v>
      </c>
      <c r="D205" s="21" t="s">
        <v>488</v>
      </c>
      <c r="E205" s="21" t="s">
        <v>489</v>
      </c>
      <c r="F205" s="21" t="s">
        <v>490</v>
      </c>
      <c r="G205" s="21" t="s">
        <v>491</v>
      </c>
      <c r="H205" s="21" t="s">
        <v>492</v>
      </c>
      <c r="I205" s="21" t="s">
        <v>849</v>
      </c>
      <c r="J205" s="21" t="s">
        <v>850</v>
      </c>
      <c r="K205" s="21" t="s">
        <v>504</v>
      </c>
      <c r="L205" s="22">
        <v>995</v>
      </c>
      <c r="M205" s="21" t="s">
        <v>496</v>
      </c>
      <c r="N205" s="21" t="s">
        <v>497</v>
      </c>
      <c r="O205" s="22">
        <v>439</v>
      </c>
      <c r="P205" s="22">
        <v>10</v>
      </c>
      <c r="Q205" s="23">
        <v>0.8</v>
      </c>
      <c r="R205" s="24"/>
      <c r="S205" s="21" t="s">
        <v>66</v>
      </c>
      <c r="T205" s="21" t="s">
        <v>501</v>
      </c>
      <c r="U205" s="12"/>
      <c r="V205" s="21"/>
      <c r="W205" s="12"/>
      <c r="X205" s="11"/>
      <c r="Y205" s="25"/>
      <c r="Z205" s="11"/>
    </row>
    <row r="206" spans="1:26" x14ac:dyDescent="0.25">
      <c r="A206" s="8" t="str">
        <f>IF(AND(COUNTBLANK('Bid Sheet'!$R$206:$R$206)=1,COUNTBLANK('Bid Sheet'!$U$206:$U$206)=1,COUNTBLANK('Bid Sheet'!$W$206:$Z$206)=4),"",IF(OR(COUNTBLANK('Bid Sheet'!$R$206:$R$206)&gt;0,COUNTBLANK('Bid Sheet'!$X$206:$X$206)&gt;0, SUM(COUNTBLANK('Bid Sheet'!$D$3:$E$3), COUNTBLANK('Bid Sheet'!$D$4:$E$4), COUNTBLANK('Bid Sheet'!$D$5:$E$5), COUNTBLANK('Bid Sheet'!$D$6:$E$6), COUNTBLANK('Bid Sheet'!$D$7:$E$7))&gt;0), "No", "Yes"))</f>
        <v/>
      </c>
      <c r="B206" s="8"/>
      <c r="C206" s="8" t="s">
        <v>320</v>
      </c>
      <c r="D206" s="8" t="s">
        <v>488</v>
      </c>
      <c r="E206" s="8" t="s">
        <v>489</v>
      </c>
      <c r="F206" s="8" t="s">
        <v>490</v>
      </c>
      <c r="G206" s="8" t="s">
        <v>491</v>
      </c>
      <c r="H206" s="8" t="s">
        <v>492</v>
      </c>
      <c r="I206" s="8" t="s">
        <v>857</v>
      </c>
      <c r="J206" s="8" t="s">
        <v>858</v>
      </c>
      <c r="K206" s="8" t="s">
        <v>859</v>
      </c>
      <c r="L206" s="17">
        <v>1078</v>
      </c>
      <c r="M206" s="8" t="s">
        <v>496</v>
      </c>
      <c r="N206" s="8" t="s">
        <v>497</v>
      </c>
      <c r="O206" s="17">
        <v>472</v>
      </c>
      <c r="P206" s="17">
        <v>30</v>
      </c>
      <c r="Q206" s="18">
        <v>2.5</v>
      </c>
      <c r="R206" s="19"/>
      <c r="S206" s="8" t="s">
        <v>66</v>
      </c>
      <c r="T206" s="8"/>
      <c r="U206" s="10"/>
      <c r="V206" s="8"/>
      <c r="W206" s="10"/>
      <c r="X206" s="9"/>
      <c r="Y206" s="20"/>
      <c r="Z206" s="9"/>
    </row>
    <row r="207" spans="1:26" x14ac:dyDescent="0.25">
      <c r="A207" s="21" t="str">
        <f>IF(AND(COUNTBLANK('Bid Sheet'!$R$207:$R$207)=1,COUNTBLANK('Bid Sheet'!$U$207:$U$207)=1,COUNTBLANK('Bid Sheet'!$W$207:$Z$207)=4),"",IF(OR(COUNTBLANK('Bid Sheet'!$R$207:$R$207)&gt;0,COUNTBLANK('Bid Sheet'!$X$207:$X$207)&gt;0, SUM(COUNTBLANK('Bid Sheet'!$D$3:$E$3), COUNTBLANK('Bid Sheet'!$D$4:$E$4), COUNTBLANK('Bid Sheet'!$D$5:$E$5), COUNTBLANK('Bid Sheet'!$D$6:$E$6), COUNTBLANK('Bid Sheet'!$D$7:$E$7))&gt;0), "No", "Yes"))</f>
        <v/>
      </c>
      <c r="B207" s="21"/>
      <c r="C207" s="21" t="s">
        <v>321</v>
      </c>
      <c r="D207" s="21" t="s">
        <v>488</v>
      </c>
      <c r="E207" s="21" t="s">
        <v>489</v>
      </c>
      <c r="F207" s="21" t="s">
        <v>490</v>
      </c>
      <c r="G207" s="21" t="s">
        <v>491</v>
      </c>
      <c r="H207" s="21" t="s">
        <v>492</v>
      </c>
      <c r="I207" s="21" t="s">
        <v>860</v>
      </c>
      <c r="J207" s="21" t="s">
        <v>861</v>
      </c>
      <c r="K207" s="21" t="s">
        <v>859</v>
      </c>
      <c r="L207" s="22">
        <v>930</v>
      </c>
      <c r="M207" s="21" t="s">
        <v>496</v>
      </c>
      <c r="N207" s="21" t="s">
        <v>497</v>
      </c>
      <c r="O207" s="22">
        <v>409</v>
      </c>
      <c r="P207" s="22">
        <v>66</v>
      </c>
      <c r="Q207" s="23">
        <v>5.5</v>
      </c>
      <c r="R207" s="24"/>
      <c r="S207" s="21" t="s">
        <v>66</v>
      </c>
      <c r="T207" s="21" t="s">
        <v>501</v>
      </c>
      <c r="U207" s="12"/>
      <c r="V207" s="21"/>
      <c r="W207" s="12"/>
      <c r="X207" s="11"/>
      <c r="Y207" s="25"/>
      <c r="Z207" s="11"/>
    </row>
    <row r="208" spans="1:26" x14ac:dyDescent="0.25">
      <c r="A208" s="8" t="str">
        <f>IF(AND(COUNTBLANK('Bid Sheet'!$R$208:$R$208)=1,COUNTBLANK('Bid Sheet'!$U$208:$U$208)=1,COUNTBLANK('Bid Sheet'!$W$208:$Z$208)=4),"",IF(OR(COUNTBLANK('Bid Sheet'!$R$208:$R$208)&gt;0,COUNTBLANK('Bid Sheet'!$X$208:$X$208)&gt;0, SUM(COUNTBLANK('Bid Sheet'!$D$3:$E$3), COUNTBLANK('Bid Sheet'!$D$4:$E$4), COUNTBLANK('Bid Sheet'!$D$5:$E$5), COUNTBLANK('Bid Sheet'!$D$6:$E$6), COUNTBLANK('Bid Sheet'!$D$7:$E$7))&gt;0), "No", "Yes"))</f>
        <v/>
      </c>
      <c r="B208" s="8"/>
      <c r="C208" s="8" t="s">
        <v>322</v>
      </c>
      <c r="D208" s="8" t="s">
        <v>488</v>
      </c>
      <c r="E208" s="8" t="s">
        <v>489</v>
      </c>
      <c r="F208" s="8" t="s">
        <v>490</v>
      </c>
      <c r="G208" s="8" t="s">
        <v>491</v>
      </c>
      <c r="H208" s="8" t="s">
        <v>492</v>
      </c>
      <c r="I208" s="8" t="s">
        <v>862</v>
      </c>
      <c r="J208" s="8" t="s">
        <v>863</v>
      </c>
      <c r="K208" s="8" t="s">
        <v>859</v>
      </c>
      <c r="L208" s="17">
        <v>968</v>
      </c>
      <c r="M208" s="8" t="s">
        <v>496</v>
      </c>
      <c r="N208" s="8" t="s">
        <v>497</v>
      </c>
      <c r="O208" s="17">
        <v>408</v>
      </c>
      <c r="P208" s="17">
        <v>45</v>
      </c>
      <c r="Q208" s="18">
        <v>3.8</v>
      </c>
      <c r="R208" s="19"/>
      <c r="S208" s="8" t="s">
        <v>66</v>
      </c>
      <c r="T208" s="8"/>
      <c r="U208" s="10"/>
      <c r="V208" s="8"/>
      <c r="W208" s="10"/>
      <c r="X208" s="9"/>
      <c r="Y208" s="20"/>
      <c r="Z208" s="9"/>
    </row>
    <row r="209" spans="1:26" x14ac:dyDescent="0.25">
      <c r="A209" s="21" t="str">
        <f>IF(AND(COUNTBLANK('Bid Sheet'!$R$209:$R$209)=1,COUNTBLANK('Bid Sheet'!$U$209:$U$209)=1,COUNTBLANK('Bid Sheet'!$W$209:$Z$209)=4),"",IF(OR(COUNTBLANK('Bid Sheet'!$R$209:$R$209)&gt;0,COUNTBLANK('Bid Sheet'!$X$209:$X$209)&gt;0, SUM(COUNTBLANK('Bid Sheet'!$D$3:$E$3), COUNTBLANK('Bid Sheet'!$D$4:$E$4), COUNTBLANK('Bid Sheet'!$D$5:$E$5), COUNTBLANK('Bid Sheet'!$D$6:$E$6), COUNTBLANK('Bid Sheet'!$D$7:$E$7))&gt;0), "No", "Yes"))</f>
        <v/>
      </c>
      <c r="B209" s="21"/>
      <c r="C209" s="21" t="s">
        <v>323</v>
      </c>
      <c r="D209" s="21" t="s">
        <v>488</v>
      </c>
      <c r="E209" s="21" t="s">
        <v>489</v>
      </c>
      <c r="F209" s="21" t="s">
        <v>490</v>
      </c>
      <c r="G209" s="21" t="s">
        <v>491</v>
      </c>
      <c r="H209" s="21" t="s">
        <v>492</v>
      </c>
      <c r="I209" s="21" t="s">
        <v>864</v>
      </c>
      <c r="J209" s="21" t="s">
        <v>865</v>
      </c>
      <c r="K209" s="21" t="s">
        <v>859</v>
      </c>
      <c r="L209" s="22">
        <v>1053</v>
      </c>
      <c r="M209" s="21" t="s">
        <v>496</v>
      </c>
      <c r="N209" s="21" t="s">
        <v>497</v>
      </c>
      <c r="O209" s="22">
        <v>457</v>
      </c>
      <c r="P209" s="22">
        <v>85</v>
      </c>
      <c r="Q209" s="23">
        <v>7.1</v>
      </c>
      <c r="R209" s="24"/>
      <c r="S209" s="21" t="s">
        <v>66</v>
      </c>
      <c r="T209" s="21" t="s">
        <v>501</v>
      </c>
      <c r="U209" s="12"/>
      <c r="V209" s="21"/>
      <c r="W209" s="12"/>
      <c r="X209" s="11"/>
      <c r="Y209" s="25"/>
      <c r="Z209" s="11"/>
    </row>
    <row r="210" spans="1:26" x14ac:dyDescent="0.25">
      <c r="A210" s="8" t="str">
        <f>IF(AND(COUNTBLANK('Bid Sheet'!$R$210:$R$210)=1,COUNTBLANK('Bid Sheet'!$U$210:$U$210)=1,COUNTBLANK('Bid Sheet'!$W$210:$Z$210)=4),"",IF(OR(COUNTBLANK('Bid Sheet'!$R$210:$R$210)&gt;0,COUNTBLANK('Bid Sheet'!$X$210:$X$210)&gt;0, SUM(COUNTBLANK('Bid Sheet'!$D$3:$E$3), COUNTBLANK('Bid Sheet'!$D$4:$E$4), COUNTBLANK('Bid Sheet'!$D$5:$E$5), COUNTBLANK('Bid Sheet'!$D$6:$E$6), COUNTBLANK('Bid Sheet'!$D$7:$E$7))&gt;0), "No", "Yes"))</f>
        <v/>
      </c>
      <c r="B210" s="8"/>
      <c r="C210" s="8" t="s">
        <v>324</v>
      </c>
      <c r="D210" s="8" t="s">
        <v>488</v>
      </c>
      <c r="E210" s="8" t="s">
        <v>489</v>
      </c>
      <c r="F210" s="8" t="s">
        <v>502</v>
      </c>
      <c r="G210" s="8" t="s">
        <v>503</v>
      </c>
      <c r="H210" s="8" t="s">
        <v>504</v>
      </c>
      <c r="I210" s="8" t="s">
        <v>866</v>
      </c>
      <c r="J210" s="8" t="s">
        <v>867</v>
      </c>
      <c r="K210" s="8" t="s">
        <v>859</v>
      </c>
      <c r="L210" s="17">
        <v>615</v>
      </c>
      <c r="M210" s="8" t="s">
        <v>496</v>
      </c>
      <c r="N210" s="8" t="s">
        <v>497</v>
      </c>
      <c r="O210" s="17">
        <v>302</v>
      </c>
      <c r="P210" s="17">
        <v>7</v>
      </c>
      <c r="Q210" s="18">
        <v>0.6</v>
      </c>
      <c r="R210" s="19"/>
      <c r="S210" s="8" t="s">
        <v>66</v>
      </c>
      <c r="T210" s="8"/>
      <c r="U210" s="10"/>
      <c r="V210" s="8"/>
      <c r="W210" s="10"/>
      <c r="X210" s="9"/>
      <c r="Y210" s="20"/>
      <c r="Z210" s="9"/>
    </row>
    <row r="211" spans="1:26" x14ac:dyDescent="0.25">
      <c r="A211" s="21" t="str">
        <f>IF(AND(COUNTBLANK('Bid Sheet'!$R$211:$R$211)=1,COUNTBLANK('Bid Sheet'!$U$211:$U$211)=1,COUNTBLANK('Bid Sheet'!$W$211:$Z$211)=4),"",IF(OR(COUNTBLANK('Bid Sheet'!$R$211:$R$211)&gt;0,COUNTBLANK('Bid Sheet'!$X$211:$X$211)&gt;0, SUM(COUNTBLANK('Bid Sheet'!$D$3:$E$3), COUNTBLANK('Bid Sheet'!$D$4:$E$4), COUNTBLANK('Bid Sheet'!$D$5:$E$5), COUNTBLANK('Bid Sheet'!$D$6:$E$6), COUNTBLANK('Bid Sheet'!$D$7:$E$7))&gt;0), "No", "Yes"))</f>
        <v/>
      </c>
      <c r="B211" s="21"/>
      <c r="C211" s="21" t="s">
        <v>325</v>
      </c>
      <c r="D211" s="21" t="s">
        <v>488</v>
      </c>
      <c r="E211" s="21" t="s">
        <v>489</v>
      </c>
      <c r="F211" s="21" t="s">
        <v>490</v>
      </c>
      <c r="G211" s="21" t="s">
        <v>491</v>
      </c>
      <c r="H211" s="21" t="s">
        <v>492</v>
      </c>
      <c r="I211" s="21" t="s">
        <v>868</v>
      </c>
      <c r="J211" s="21" t="s">
        <v>869</v>
      </c>
      <c r="K211" s="21" t="s">
        <v>870</v>
      </c>
      <c r="L211" s="22">
        <v>608</v>
      </c>
      <c r="M211" s="21" t="s">
        <v>496</v>
      </c>
      <c r="N211" s="21" t="s">
        <v>497</v>
      </c>
      <c r="O211" s="22">
        <v>266</v>
      </c>
      <c r="P211" s="22">
        <v>12</v>
      </c>
      <c r="Q211" s="23">
        <v>1</v>
      </c>
      <c r="R211" s="24"/>
      <c r="S211" s="21" t="s">
        <v>66</v>
      </c>
      <c r="T211" s="21"/>
      <c r="U211" s="12"/>
      <c r="V211" s="21"/>
      <c r="W211" s="12"/>
      <c r="X211" s="11"/>
      <c r="Y211" s="25"/>
      <c r="Z211" s="11"/>
    </row>
    <row r="212" spans="1:26" x14ac:dyDescent="0.25">
      <c r="A212" s="8" t="str">
        <f>IF(AND(COUNTBLANK('Bid Sheet'!$R$212:$R$212)=1,COUNTBLANK('Bid Sheet'!$U$212:$U$212)=1,COUNTBLANK('Bid Sheet'!$W$212:$Z$212)=4),"",IF(OR(COUNTBLANK('Bid Sheet'!$R$212:$R$212)&gt;0,COUNTBLANK('Bid Sheet'!$X$212:$X$212)&gt;0, SUM(COUNTBLANK('Bid Sheet'!$D$3:$E$3), COUNTBLANK('Bid Sheet'!$D$4:$E$4), COUNTBLANK('Bid Sheet'!$D$5:$E$5), COUNTBLANK('Bid Sheet'!$D$6:$E$6), COUNTBLANK('Bid Sheet'!$D$7:$E$7))&gt;0), "No", "Yes"))</f>
        <v/>
      </c>
      <c r="B212" s="8"/>
      <c r="C212" s="8" t="s">
        <v>326</v>
      </c>
      <c r="D212" s="8" t="s">
        <v>488</v>
      </c>
      <c r="E212" s="8" t="s">
        <v>489</v>
      </c>
      <c r="F212" s="8" t="s">
        <v>490</v>
      </c>
      <c r="G212" s="8" t="s">
        <v>491</v>
      </c>
      <c r="H212" s="8" t="s">
        <v>492</v>
      </c>
      <c r="I212" s="8" t="s">
        <v>871</v>
      </c>
      <c r="J212" s="8" t="s">
        <v>654</v>
      </c>
      <c r="K212" s="8" t="s">
        <v>870</v>
      </c>
      <c r="L212" s="17">
        <v>645</v>
      </c>
      <c r="M212" s="8" t="s">
        <v>496</v>
      </c>
      <c r="N212" s="8" t="s">
        <v>497</v>
      </c>
      <c r="O212" s="17">
        <v>282</v>
      </c>
      <c r="P212" s="17">
        <v>100</v>
      </c>
      <c r="Q212" s="18">
        <v>8.3000000000000007</v>
      </c>
      <c r="R212" s="19"/>
      <c r="S212" s="8" t="s">
        <v>66</v>
      </c>
      <c r="T212" s="8" t="s">
        <v>501</v>
      </c>
      <c r="U212" s="10"/>
      <c r="V212" s="8"/>
      <c r="W212" s="10"/>
      <c r="X212" s="9"/>
      <c r="Y212" s="20"/>
      <c r="Z212" s="9"/>
    </row>
    <row r="213" spans="1:26" x14ac:dyDescent="0.25">
      <c r="A213" s="21" t="str">
        <f>IF(AND(COUNTBLANK('Bid Sheet'!$R$213:$R$213)=1,COUNTBLANK('Bid Sheet'!$U$213:$U$213)=1,COUNTBLANK('Bid Sheet'!$W$213:$Z$213)=4),"",IF(OR(COUNTBLANK('Bid Sheet'!$R$213:$R$213)&gt;0,COUNTBLANK('Bid Sheet'!$X$213:$X$213)&gt;0, SUM(COUNTBLANK('Bid Sheet'!$D$3:$E$3), COUNTBLANK('Bid Sheet'!$D$4:$E$4), COUNTBLANK('Bid Sheet'!$D$5:$E$5), COUNTBLANK('Bid Sheet'!$D$6:$E$6), COUNTBLANK('Bid Sheet'!$D$7:$E$7))&gt;0), "No", "Yes"))</f>
        <v/>
      </c>
      <c r="B213" s="21"/>
      <c r="C213" s="21" t="s">
        <v>327</v>
      </c>
      <c r="D213" s="21" t="s">
        <v>488</v>
      </c>
      <c r="E213" s="21" t="s">
        <v>489</v>
      </c>
      <c r="F213" s="21" t="s">
        <v>490</v>
      </c>
      <c r="G213" s="21" t="s">
        <v>491</v>
      </c>
      <c r="H213" s="21" t="s">
        <v>492</v>
      </c>
      <c r="I213" s="21" t="s">
        <v>872</v>
      </c>
      <c r="J213" s="21" t="s">
        <v>799</v>
      </c>
      <c r="K213" s="21" t="s">
        <v>873</v>
      </c>
      <c r="L213" s="22">
        <v>494</v>
      </c>
      <c r="M213" s="21" t="s">
        <v>496</v>
      </c>
      <c r="N213" s="21" t="s">
        <v>497</v>
      </c>
      <c r="O213" s="22">
        <v>208</v>
      </c>
      <c r="P213" s="22">
        <v>124</v>
      </c>
      <c r="Q213" s="23">
        <v>10.3</v>
      </c>
      <c r="R213" s="24"/>
      <c r="S213" s="21" t="s">
        <v>66</v>
      </c>
      <c r="T213" s="21" t="s">
        <v>501</v>
      </c>
      <c r="U213" s="12"/>
      <c r="V213" s="21"/>
      <c r="W213" s="12"/>
      <c r="X213" s="11"/>
      <c r="Y213" s="25"/>
      <c r="Z213" s="11"/>
    </row>
    <row r="214" spans="1:26" x14ac:dyDescent="0.25">
      <c r="A214" s="8" t="str">
        <f>IF(AND(COUNTBLANK('Bid Sheet'!$R$214:$R$214)=1,COUNTBLANK('Bid Sheet'!$U$214:$U$214)=1,COUNTBLANK('Bid Sheet'!$W$214:$Z$214)=4),"",IF(OR(COUNTBLANK('Bid Sheet'!$R$214:$R$214)&gt;0,COUNTBLANK('Bid Sheet'!$X$214:$X$214)&gt;0, SUM(COUNTBLANK('Bid Sheet'!$D$3:$E$3), COUNTBLANK('Bid Sheet'!$D$4:$E$4), COUNTBLANK('Bid Sheet'!$D$5:$E$5), COUNTBLANK('Bid Sheet'!$D$6:$E$6), COUNTBLANK('Bid Sheet'!$D$7:$E$7))&gt;0), "No", "Yes"))</f>
        <v/>
      </c>
      <c r="B214" s="8"/>
      <c r="C214" s="8" t="s">
        <v>328</v>
      </c>
      <c r="D214" s="8" t="s">
        <v>488</v>
      </c>
      <c r="E214" s="8" t="s">
        <v>489</v>
      </c>
      <c r="F214" s="8" t="s">
        <v>490</v>
      </c>
      <c r="G214" s="8" t="s">
        <v>491</v>
      </c>
      <c r="H214" s="8" t="s">
        <v>492</v>
      </c>
      <c r="I214" s="8" t="s">
        <v>874</v>
      </c>
      <c r="J214" s="8" t="s">
        <v>875</v>
      </c>
      <c r="K214" s="8" t="s">
        <v>873</v>
      </c>
      <c r="L214" s="17">
        <v>492</v>
      </c>
      <c r="M214" s="8" t="s">
        <v>496</v>
      </c>
      <c r="N214" s="8" t="s">
        <v>497</v>
      </c>
      <c r="O214" s="17">
        <v>205</v>
      </c>
      <c r="P214" s="17">
        <v>137</v>
      </c>
      <c r="Q214" s="18">
        <v>11.4</v>
      </c>
      <c r="R214" s="19"/>
      <c r="S214" s="8" t="s">
        <v>66</v>
      </c>
      <c r="T214" s="8" t="s">
        <v>501</v>
      </c>
      <c r="U214" s="10"/>
      <c r="V214" s="8"/>
      <c r="W214" s="10"/>
      <c r="X214" s="9"/>
      <c r="Y214" s="20"/>
      <c r="Z214" s="9"/>
    </row>
    <row r="215" spans="1:26" x14ac:dyDescent="0.25">
      <c r="A215" s="21" t="str">
        <f>IF(AND(COUNTBLANK('Bid Sheet'!$R$215:$R$215)=1,COUNTBLANK('Bid Sheet'!$U$215:$U$215)=1,COUNTBLANK('Bid Sheet'!$W$215:$Z$215)=4),"",IF(OR(COUNTBLANK('Bid Sheet'!$R$215:$R$215)&gt;0,COUNTBLANK('Bid Sheet'!$X$215:$X$215)&gt;0, SUM(COUNTBLANK('Bid Sheet'!$D$3:$E$3), COUNTBLANK('Bid Sheet'!$D$4:$E$4), COUNTBLANK('Bid Sheet'!$D$5:$E$5), COUNTBLANK('Bid Sheet'!$D$6:$E$6), COUNTBLANK('Bid Sheet'!$D$7:$E$7))&gt;0), "No", "Yes"))</f>
        <v/>
      </c>
      <c r="B215" s="21"/>
      <c r="C215" s="21" t="s">
        <v>329</v>
      </c>
      <c r="D215" s="21" t="s">
        <v>488</v>
      </c>
      <c r="E215" s="21" t="s">
        <v>489</v>
      </c>
      <c r="F215" s="21" t="s">
        <v>490</v>
      </c>
      <c r="G215" s="21" t="s">
        <v>491</v>
      </c>
      <c r="H215" s="21" t="s">
        <v>492</v>
      </c>
      <c r="I215" s="21" t="s">
        <v>876</v>
      </c>
      <c r="J215" s="21" t="s">
        <v>877</v>
      </c>
      <c r="K215" s="21" t="s">
        <v>873</v>
      </c>
      <c r="L215" s="22">
        <v>504</v>
      </c>
      <c r="M215" s="21" t="s">
        <v>496</v>
      </c>
      <c r="N215" s="21" t="s">
        <v>497</v>
      </c>
      <c r="O215" s="22">
        <v>223</v>
      </c>
      <c r="P215" s="22">
        <v>40</v>
      </c>
      <c r="Q215" s="23">
        <v>3.3</v>
      </c>
      <c r="R215" s="24"/>
      <c r="S215" s="21" t="s">
        <v>66</v>
      </c>
      <c r="T215" s="21"/>
      <c r="U215" s="12"/>
      <c r="V215" s="21"/>
      <c r="W215" s="12"/>
      <c r="X215" s="11"/>
      <c r="Y215" s="25"/>
      <c r="Z215" s="11"/>
    </row>
    <row r="216" spans="1:26" x14ac:dyDescent="0.25">
      <c r="A216" s="8" t="str">
        <f>IF(AND(COUNTBLANK('Bid Sheet'!$R$216:$R$216)=1,COUNTBLANK('Bid Sheet'!$U$216:$U$216)=1,COUNTBLANK('Bid Sheet'!$W$216:$Z$216)=4),"",IF(OR(COUNTBLANK('Bid Sheet'!$R$216:$R$216)&gt;0,COUNTBLANK('Bid Sheet'!$X$216:$X$216)&gt;0, SUM(COUNTBLANK('Bid Sheet'!$D$3:$E$3), COUNTBLANK('Bid Sheet'!$D$4:$E$4), COUNTBLANK('Bid Sheet'!$D$5:$E$5), COUNTBLANK('Bid Sheet'!$D$6:$E$6), COUNTBLANK('Bid Sheet'!$D$7:$E$7))&gt;0), "No", "Yes"))</f>
        <v/>
      </c>
      <c r="B216" s="8"/>
      <c r="C216" s="8" t="s">
        <v>330</v>
      </c>
      <c r="D216" s="8" t="s">
        <v>488</v>
      </c>
      <c r="E216" s="8" t="s">
        <v>489</v>
      </c>
      <c r="F216" s="8" t="s">
        <v>490</v>
      </c>
      <c r="G216" s="8" t="s">
        <v>491</v>
      </c>
      <c r="H216" s="8" t="s">
        <v>492</v>
      </c>
      <c r="I216" s="8" t="s">
        <v>878</v>
      </c>
      <c r="J216" s="8" t="s">
        <v>879</v>
      </c>
      <c r="K216" s="8" t="s">
        <v>873</v>
      </c>
      <c r="L216" s="17">
        <v>582</v>
      </c>
      <c r="M216" s="8" t="s">
        <v>496</v>
      </c>
      <c r="N216" s="8" t="s">
        <v>497</v>
      </c>
      <c r="O216" s="17">
        <v>254</v>
      </c>
      <c r="P216" s="17">
        <v>10</v>
      </c>
      <c r="Q216" s="18">
        <v>0.8</v>
      </c>
      <c r="R216" s="19"/>
      <c r="S216" s="8" t="s">
        <v>66</v>
      </c>
      <c r="T216" s="8"/>
      <c r="U216" s="10"/>
      <c r="V216" s="8"/>
      <c r="W216" s="10"/>
      <c r="X216" s="9"/>
      <c r="Y216" s="20"/>
      <c r="Z216" s="9"/>
    </row>
    <row r="217" spans="1:26" x14ac:dyDescent="0.25">
      <c r="A217" s="21" t="str">
        <f>IF(AND(COUNTBLANK('Bid Sheet'!$R$217:$R$217)=1,COUNTBLANK('Bid Sheet'!$U$217:$U$217)=1,COUNTBLANK('Bid Sheet'!$W$217:$Z$217)=4),"",IF(OR(COUNTBLANK('Bid Sheet'!$R$217:$R$217)&gt;0,COUNTBLANK('Bid Sheet'!$X$217:$X$217)&gt;0, SUM(COUNTBLANK('Bid Sheet'!$D$3:$E$3), COUNTBLANK('Bid Sheet'!$D$4:$E$4), COUNTBLANK('Bid Sheet'!$D$5:$E$5), COUNTBLANK('Bid Sheet'!$D$6:$E$6), COUNTBLANK('Bid Sheet'!$D$7:$E$7))&gt;0), "No", "Yes"))</f>
        <v/>
      </c>
      <c r="B217" s="21"/>
      <c r="C217" s="21" t="s">
        <v>331</v>
      </c>
      <c r="D217" s="21" t="s">
        <v>488</v>
      </c>
      <c r="E217" s="21" t="s">
        <v>489</v>
      </c>
      <c r="F217" s="21" t="s">
        <v>490</v>
      </c>
      <c r="G217" s="21" t="s">
        <v>491</v>
      </c>
      <c r="H217" s="21" t="s">
        <v>492</v>
      </c>
      <c r="I217" s="21" t="s">
        <v>880</v>
      </c>
      <c r="J217" s="21" t="s">
        <v>881</v>
      </c>
      <c r="K217" s="21" t="s">
        <v>873</v>
      </c>
      <c r="L217" s="22">
        <v>559</v>
      </c>
      <c r="M217" s="21" t="s">
        <v>496</v>
      </c>
      <c r="N217" s="21" t="s">
        <v>497</v>
      </c>
      <c r="O217" s="22">
        <v>225</v>
      </c>
      <c r="P217" s="22">
        <v>80</v>
      </c>
      <c r="Q217" s="23">
        <v>6.7</v>
      </c>
      <c r="R217" s="24"/>
      <c r="S217" s="21" t="s">
        <v>66</v>
      </c>
      <c r="T217" s="21" t="s">
        <v>501</v>
      </c>
      <c r="U217" s="12"/>
      <c r="V217" s="21"/>
      <c r="W217" s="12"/>
      <c r="X217" s="11"/>
      <c r="Y217" s="25"/>
      <c r="Z217" s="11"/>
    </row>
    <row r="218" spans="1:26" x14ac:dyDescent="0.25">
      <c r="A218" s="8" t="str">
        <f>IF(AND(COUNTBLANK('Bid Sheet'!$R$218:$R$218)=1,COUNTBLANK('Bid Sheet'!$U$218:$U$218)=1,COUNTBLANK('Bid Sheet'!$W$218:$Z$218)=4),"",IF(OR(COUNTBLANK('Bid Sheet'!$R$218:$R$218)&gt;0,COUNTBLANK('Bid Sheet'!$X$218:$X$218)&gt;0, SUM(COUNTBLANK('Bid Sheet'!$D$3:$E$3), COUNTBLANK('Bid Sheet'!$D$4:$E$4), COUNTBLANK('Bid Sheet'!$D$5:$E$5), COUNTBLANK('Bid Sheet'!$D$6:$E$6), COUNTBLANK('Bid Sheet'!$D$7:$E$7))&gt;0), "No", "Yes"))</f>
        <v/>
      </c>
      <c r="B218" s="8"/>
      <c r="C218" s="8" t="s">
        <v>332</v>
      </c>
      <c r="D218" s="8" t="s">
        <v>488</v>
      </c>
      <c r="E218" s="8" t="s">
        <v>489</v>
      </c>
      <c r="F218" s="8" t="s">
        <v>490</v>
      </c>
      <c r="G218" s="8" t="s">
        <v>491</v>
      </c>
      <c r="H218" s="8" t="s">
        <v>492</v>
      </c>
      <c r="I218" s="8" t="s">
        <v>882</v>
      </c>
      <c r="J218" s="8" t="s">
        <v>883</v>
      </c>
      <c r="K218" s="8" t="s">
        <v>873</v>
      </c>
      <c r="L218" s="17">
        <v>478</v>
      </c>
      <c r="M218" s="8" t="s">
        <v>496</v>
      </c>
      <c r="N218" s="8" t="s">
        <v>497</v>
      </c>
      <c r="O218" s="17">
        <v>192</v>
      </c>
      <c r="P218" s="17">
        <v>42</v>
      </c>
      <c r="Q218" s="18">
        <v>3.5</v>
      </c>
      <c r="R218" s="19"/>
      <c r="S218" s="8" t="s">
        <v>66</v>
      </c>
      <c r="T218" s="8"/>
      <c r="U218" s="10"/>
      <c r="V218" s="8"/>
      <c r="W218" s="10"/>
      <c r="X218" s="9"/>
      <c r="Y218" s="20"/>
      <c r="Z218" s="9"/>
    </row>
    <row r="219" spans="1:26" x14ac:dyDescent="0.25">
      <c r="A219" s="21" t="str">
        <f>IF(AND(COUNTBLANK('Bid Sheet'!$R$219:$R$219)=1,COUNTBLANK('Bid Sheet'!$U$219:$U$219)=1,COUNTBLANK('Bid Sheet'!$W$219:$Z$219)=4),"",IF(OR(COUNTBLANK('Bid Sheet'!$R$219:$R$219)&gt;0,COUNTBLANK('Bid Sheet'!$X$219:$X$219)&gt;0, SUM(COUNTBLANK('Bid Sheet'!$D$3:$E$3), COUNTBLANK('Bid Sheet'!$D$4:$E$4), COUNTBLANK('Bid Sheet'!$D$5:$E$5), COUNTBLANK('Bid Sheet'!$D$6:$E$6), COUNTBLANK('Bid Sheet'!$D$7:$E$7))&gt;0), "No", "Yes"))</f>
        <v/>
      </c>
      <c r="B219" s="21"/>
      <c r="C219" s="21" t="s">
        <v>333</v>
      </c>
      <c r="D219" s="21" t="s">
        <v>488</v>
      </c>
      <c r="E219" s="21" t="s">
        <v>489</v>
      </c>
      <c r="F219" s="21" t="s">
        <v>490</v>
      </c>
      <c r="G219" s="21" t="s">
        <v>491</v>
      </c>
      <c r="H219" s="21" t="s">
        <v>492</v>
      </c>
      <c r="I219" s="21" t="s">
        <v>884</v>
      </c>
      <c r="J219" s="21" t="s">
        <v>885</v>
      </c>
      <c r="K219" s="21" t="s">
        <v>873</v>
      </c>
      <c r="L219" s="22">
        <v>495</v>
      </c>
      <c r="M219" s="21" t="s">
        <v>496</v>
      </c>
      <c r="N219" s="21" t="s">
        <v>497</v>
      </c>
      <c r="O219" s="22">
        <v>199</v>
      </c>
      <c r="P219" s="22">
        <v>24</v>
      </c>
      <c r="Q219" s="23">
        <v>2</v>
      </c>
      <c r="R219" s="24"/>
      <c r="S219" s="21" t="s">
        <v>66</v>
      </c>
      <c r="T219" s="21"/>
      <c r="U219" s="12"/>
      <c r="V219" s="21"/>
      <c r="W219" s="12"/>
      <c r="X219" s="11"/>
      <c r="Y219" s="25"/>
      <c r="Z219" s="11"/>
    </row>
    <row r="220" spans="1:26" x14ac:dyDescent="0.25">
      <c r="A220" s="8" t="str">
        <f>IF(AND(COUNTBLANK('Bid Sheet'!$R$220:$R$220)=1,COUNTBLANK('Bid Sheet'!$U$220:$U$220)=1,COUNTBLANK('Bid Sheet'!$W$220:$Z$220)=4),"",IF(OR(COUNTBLANK('Bid Sheet'!$R$220:$R$220)&gt;0,COUNTBLANK('Bid Sheet'!$X$220:$X$220)&gt;0, SUM(COUNTBLANK('Bid Sheet'!$D$3:$E$3), COUNTBLANK('Bid Sheet'!$D$4:$E$4), COUNTBLANK('Bid Sheet'!$D$5:$E$5), COUNTBLANK('Bid Sheet'!$D$6:$E$6), COUNTBLANK('Bid Sheet'!$D$7:$E$7))&gt;0), "No", "Yes"))</f>
        <v/>
      </c>
      <c r="B220" s="8"/>
      <c r="C220" s="8" t="s">
        <v>334</v>
      </c>
      <c r="D220" s="8" t="s">
        <v>488</v>
      </c>
      <c r="E220" s="8" t="s">
        <v>489</v>
      </c>
      <c r="F220" s="8" t="s">
        <v>490</v>
      </c>
      <c r="G220" s="8" t="s">
        <v>491</v>
      </c>
      <c r="H220" s="8" t="s">
        <v>492</v>
      </c>
      <c r="I220" s="8" t="s">
        <v>886</v>
      </c>
      <c r="J220" s="8" t="s">
        <v>887</v>
      </c>
      <c r="K220" s="8" t="s">
        <v>873</v>
      </c>
      <c r="L220" s="17">
        <v>719</v>
      </c>
      <c r="M220" s="8" t="s">
        <v>496</v>
      </c>
      <c r="N220" s="8" t="s">
        <v>497</v>
      </c>
      <c r="O220" s="17">
        <v>301</v>
      </c>
      <c r="P220" s="17">
        <v>60</v>
      </c>
      <c r="Q220" s="18">
        <v>5</v>
      </c>
      <c r="R220" s="19"/>
      <c r="S220" s="8" t="s">
        <v>66</v>
      </c>
      <c r="T220" s="8"/>
      <c r="U220" s="10"/>
      <c r="V220" s="8"/>
      <c r="W220" s="10"/>
      <c r="X220" s="9"/>
      <c r="Y220" s="20"/>
      <c r="Z220" s="9"/>
    </row>
    <row r="221" spans="1:26" x14ac:dyDescent="0.25">
      <c r="A221" s="21" t="str">
        <f>IF(AND(COUNTBLANK('Bid Sheet'!$R$221:$R$221)=1,COUNTBLANK('Bid Sheet'!$U$221:$U$221)=1,COUNTBLANK('Bid Sheet'!$W$221:$Z$221)=4),"",IF(OR(COUNTBLANK('Bid Sheet'!$R$221:$R$221)&gt;0,COUNTBLANK('Bid Sheet'!$X$221:$X$221)&gt;0, SUM(COUNTBLANK('Bid Sheet'!$D$3:$E$3), COUNTBLANK('Bid Sheet'!$D$4:$E$4), COUNTBLANK('Bid Sheet'!$D$5:$E$5), COUNTBLANK('Bid Sheet'!$D$6:$E$6), COUNTBLANK('Bid Sheet'!$D$7:$E$7))&gt;0), "No", "Yes"))</f>
        <v/>
      </c>
      <c r="B221" s="21"/>
      <c r="C221" s="21" t="s">
        <v>335</v>
      </c>
      <c r="D221" s="21" t="s">
        <v>488</v>
      </c>
      <c r="E221" s="21" t="s">
        <v>489</v>
      </c>
      <c r="F221" s="21" t="s">
        <v>490</v>
      </c>
      <c r="G221" s="21" t="s">
        <v>491</v>
      </c>
      <c r="H221" s="21" t="s">
        <v>492</v>
      </c>
      <c r="I221" s="21" t="s">
        <v>888</v>
      </c>
      <c r="J221" s="21" t="s">
        <v>887</v>
      </c>
      <c r="K221" s="21" t="s">
        <v>873</v>
      </c>
      <c r="L221" s="22">
        <v>703</v>
      </c>
      <c r="M221" s="21" t="s">
        <v>496</v>
      </c>
      <c r="N221" s="21" t="s">
        <v>497</v>
      </c>
      <c r="O221" s="22">
        <v>299</v>
      </c>
      <c r="P221" s="22">
        <v>160</v>
      </c>
      <c r="Q221" s="23">
        <v>13.3</v>
      </c>
      <c r="R221" s="24"/>
      <c r="S221" s="21" t="s">
        <v>66</v>
      </c>
      <c r="T221" s="21"/>
      <c r="U221" s="12"/>
      <c r="V221" s="21"/>
      <c r="W221" s="12"/>
      <c r="X221" s="11"/>
      <c r="Y221" s="25"/>
      <c r="Z221" s="11"/>
    </row>
    <row r="222" spans="1:26" x14ac:dyDescent="0.25">
      <c r="A222" s="8" t="str">
        <f>IF(AND(COUNTBLANK('Bid Sheet'!$R$222:$R$222)=1,COUNTBLANK('Bid Sheet'!$U$222:$U$222)=1,COUNTBLANK('Bid Sheet'!$W$222:$Z$222)=4),"",IF(OR(COUNTBLANK('Bid Sheet'!$R$222:$R$222)&gt;0,COUNTBLANK('Bid Sheet'!$X$222:$X$222)&gt;0, SUM(COUNTBLANK('Bid Sheet'!$D$3:$E$3), COUNTBLANK('Bid Sheet'!$D$4:$E$4), COUNTBLANK('Bid Sheet'!$D$5:$E$5), COUNTBLANK('Bid Sheet'!$D$6:$E$6), COUNTBLANK('Bid Sheet'!$D$7:$E$7))&gt;0), "No", "Yes"))</f>
        <v/>
      </c>
      <c r="B222" s="8"/>
      <c r="C222" s="8" t="s">
        <v>336</v>
      </c>
      <c r="D222" s="8" t="s">
        <v>488</v>
      </c>
      <c r="E222" s="8" t="s">
        <v>489</v>
      </c>
      <c r="F222" s="8" t="s">
        <v>490</v>
      </c>
      <c r="G222" s="8" t="s">
        <v>491</v>
      </c>
      <c r="H222" s="8" t="s">
        <v>492</v>
      </c>
      <c r="I222" s="8" t="s">
        <v>889</v>
      </c>
      <c r="J222" s="8" t="s">
        <v>890</v>
      </c>
      <c r="K222" s="8" t="s">
        <v>873</v>
      </c>
      <c r="L222" s="17">
        <v>698</v>
      </c>
      <c r="M222" s="8" t="s">
        <v>496</v>
      </c>
      <c r="N222" s="8" t="s">
        <v>497</v>
      </c>
      <c r="O222" s="17">
        <v>291</v>
      </c>
      <c r="P222" s="17">
        <v>150</v>
      </c>
      <c r="Q222" s="18">
        <v>12.5</v>
      </c>
      <c r="R222" s="19"/>
      <c r="S222" s="8" t="s">
        <v>66</v>
      </c>
      <c r="T222" s="8" t="s">
        <v>501</v>
      </c>
      <c r="U222" s="10"/>
      <c r="V222" s="8"/>
      <c r="W222" s="10"/>
      <c r="X222" s="9"/>
      <c r="Y222" s="20"/>
      <c r="Z222" s="9"/>
    </row>
    <row r="223" spans="1:26" x14ac:dyDescent="0.25">
      <c r="A223" s="21" t="str">
        <f>IF(AND(COUNTBLANK('Bid Sheet'!$R$223:$R$223)=1,COUNTBLANK('Bid Sheet'!$U$223:$U$223)=1,COUNTBLANK('Bid Sheet'!$W$223:$Z$223)=4),"",IF(OR(COUNTBLANK('Bid Sheet'!$R$223:$R$223)&gt;0,COUNTBLANK('Bid Sheet'!$X$223:$X$223)&gt;0, SUM(COUNTBLANK('Bid Sheet'!$D$3:$E$3), COUNTBLANK('Bid Sheet'!$D$4:$E$4), COUNTBLANK('Bid Sheet'!$D$5:$E$5), COUNTBLANK('Bid Sheet'!$D$6:$E$6), COUNTBLANK('Bid Sheet'!$D$7:$E$7))&gt;0), "No", "Yes"))</f>
        <v/>
      </c>
      <c r="B223" s="21"/>
      <c r="C223" s="21" t="s">
        <v>337</v>
      </c>
      <c r="D223" s="21" t="s">
        <v>488</v>
      </c>
      <c r="E223" s="21" t="s">
        <v>489</v>
      </c>
      <c r="F223" s="21" t="s">
        <v>490</v>
      </c>
      <c r="G223" s="21" t="s">
        <v>491</v>
      </c>
      <c r="H223" s="21" t="s">
        <v>492</v>
      </c>
      <c r="I223" s="21" t="s">
        <v>891</v>
      </c>
      <c r="J223" s="21" t="s">
        <v>892</v>
      </c>
      <c r="K223" s="21" t="s">
        <v>873</v>
      </c>
      <c r="L223" s="22">
        <v>740</v>
      </c>
      <c r="M223" s="21" t="s">
        <v>496</v>
      </c>
      <c r="N223" s="21" t="s">
        <v>497</v>
      </c>
      <c r="O223" s="22">
        <v>312</v>
      </c>
      <c r="P223" s="22">
        <v>7</v>
      </c>
      <c r="Q223" s="23">
        <v>0.6</v>
      </c>
      <c r="R223" s="24"/>
      <c r="S223" s="21" t="s">
        <v>66</v>
      </c>
      <c r="T223" s="21"/>
      <c r="U223" s="12"/>
      <c r="V223" s="21"/>
      <c r="W223" s="12"/>
      <c r="X223" s="11"/>
      <c r="Y223" s="25"/>
      <c r="Z223" s="11"/>
    </row>
    <row r="224" spans="1:26" x14ac:dyDescent="0.25">
      <c r="A224" s="8" t="str">
        <f>IF(AND(COUNTBLANK('Bid Sheet'!$R$224:$R$224)=1,COUNTBLANK('Bid Sheet'!$U$224:$U$224)=1,COUNTBLANK('Bid Sheet'!$W$224:$Z$224)=4),"",IF(OR(COUNTBLANK('Bid Sheet'!$R$224:$R$224)&gt;0,COUNTBLANK('Bid Sheet'!$X$224:$X$224)&gt;0, SUM(COUNTBLANK('Bid Sheet'!$D$3:$E$3), COUNTBLANK('Bid Sheet'!$D$4:$E$4), COUNTBLANK('Bid Sheet'!$D$5:$E$5), COUNTBLANK('Bid Sheet'!$D$6:$E$6), COUNTBLANK('Bid Sheet'!$D$7:$E$7))&gt;0), "No", "Yes"))</f>
        <v/>
      </c>
      <c r="B224" s="8"/>
      <c r="C224" s="8" t="s">
        <v>338</v>
      </c>
      <c r="D224" s="8" t="s">
        <v>488</v>
      </c>
      <c r="E224" s="8" t="s">
        <v>489</v>
      </c>
      <c r="F224" s="8" t="s">
        <v>490</v>
      </c>
      <c r="G224" s="8" t="s">
        <v>491</v>
      </c>
      <c r="H224" s="8" t="s">
        <v>492</v>
      </c>
      <c r="I224" s="8" t="s">
        <v>893</v>
      </c>
      <c r="J224" s="8" t="s">
        <v>894</v>
      </c>
      <c r="K224" s="8" t="s">
        <v>873</v>
      </c>
      <c r="L224" s="17">
        <v>769</v>
      </c>
      <c r="M224" s="8" t="s">
        <v>496</v>
      </c>
      <c r="N224" s="8" t="s">
        <v>497</v>
      </c>
      <c r="O224" s="17">
        <v>315</v>
      </c>
      <c r="P224" s="17">
        <v>160</v>
      </c>
      <c r="Q224" s="18">
        <v>13.3</v>
      </c>
      <c r="R224" s="19"/>
      <c r="S224" s="8" t="s">
        <v>66</v>
      </c>
      <c r="T224" s="8"/>
      <c r="U224" s="10"/>
      <c r="V224" s="8"/>
      <c r="W224" s="10"/>
      <c r="X224" s="9"/>
      <c r="Y224" s="20"/>
      <c r="Z224" s="9"/>
    </row>
    <row r="225" spans="1:26" x14ac:dyDescent="0.25">
      <c r="A225" s="21" t="str">
        <f>IF(AND(COUNTBLANK('Bid Sheet'!$R$225:$R$225)=1,COUNTBLANK('Bid Sheet'!$U$225:$U$225)=1,COUNTBLANK('Bid Sheet'!$W$225:$Z$225)=4),"",IF(OR(COUNTBLANK('Bid Sheet'!$R$225:$R$225)&gt;0,COUNTBLANK('Bid Sheet'!$X$225:$X$225)&gt;0, SUM(COUNTBLANK('Bid Sheet'!$D$3:$E$3), COUNTBLANK('Bid Sheet'!$D$4:$E$4), COUNTBLANK('Bid Sheet'!$D$5:$E$5), COUNTBLANK('Bid Sheet'!$D$6:$E$6), COUNTBLANK('Bid Sheet'!$D$7:$E$7))&gt;0), "No", "Yes"))</f>
        <v/>
      </c>
      <c r="B225" s="21"/>
      <c r="C225" s="21" t="s">
        <v>339</v>
      </c>
      <c r="D225" s="21" t="s">
        <v>488</v>
      </c>
      <c r="E225" s="21" t="s">
        <v>489</v>
      </c>
      <c r="F225" s="21" t="s">
        <v>490</v>
      </c>
      <c r="G225" s="21" t="s">
        <v>491</v>
      </c>
      <c r="H225" s="21" t="s">
        <v>492</v>
      </c>
      <c r="I225" s="21" t="s">
        <v>895</v>
      </c>
      <c r="J225" s="21" t="s">
        <v>896</v>
      </c>
      <c r="K225" s="21" t="s">
        <v>873</v>
      </c>
      <c r="L225" s="22">
        <v>572</v>
      </c>
      <c r="M225" s="21" t="s">
        <v>496</v>
      </c>
      <c r="N225" s="21" t="s">
        <v>497</v>
      </c>
      <c r="O225" s="22">
        <v>224</v>
      </c>
      <c r="P225" s="22">
        <v>10</v>
      </c>
      <c r="Q225" s="23">
        <v>0.8</v>
      </c>
      <c r="R225" s="24"/>
      <c r="S225" s="21" t="s">
        <v>66</v>
      </c>
      <c r="T225" s="21"/>
      <c r="U225" s="12"/>
      <c r="V225" s="21"/>
      <c r="W225" s="12"/>
      <c r="X225" s="11"/>
      <c r="Y225" s="25"/>
      <c r="Z225" s="11"/>
    </row>
    <row r="226" spans="1:26" x14ac:dyDescent="0.25">
      <c r="A226" s="8" t="str">
        <f>IF(AND(COUNTBLANK('Bid Sheet'!$R$226:$R$226)=1,COUNTBLANK('Bid Sheet'!$U$226:$U$226)=1,COUNTBLANK('Bid Sheet'!$W$226:$Z$226)=4),"",IF(OR(COUNTBLANK('Bid Sheet'!$R$226:$R$226)&gt;0,COUNTBLANK('Bid Sheet'!$X$226:$X$226)&gt;0, SUM(COUNTBLANK('Bid Sheet'!$D$3:$E$3), COUNTBLANK('Bid Sheet'!$D$4:$E$4), COUNTBLANK('Bid Sheet'!$D$5:$E$5), COUNTBLANK('Bid Sheet'!$D$6:$E$6), COUNTBLANK('Bid Sheet'!$D$7:$E$7))&gt;0), "No", "Yes"))</f>
        <v/>
      </c>
      <c r="B226" s="8"/>
      <c r="C226" s="8" t="s">
        <v>340</v>
      </c>
      <c r="D226" s="8" t="s">
        <v>488</v>
      </c>
      <c r="E226" s="8" t="s">
        <v>489</v>
      </c>
      <c r="F226" s="8" t="s">
        <v>490</v>
      </c>
      <c r="G226" s="8" t="s">
        <v>491</v>
      </c>
      <c r="H226" s="8" t="s">
        <v>492</v>
      </c>
      <c r="I226" s="8" t="s">
        <v>897</v>
      </c>
      <c r="J226" s="8" t="s">
        <v>898</v>
      </c>
      <c r="K226" s="8" t="s">
        <v>873</v>
      </c>
      <c r="L226" s="17">
        <v>661</v>
      </c>
      <c r="M226" s="8" t="s">
        <v>496</v>
      </c>
      <c r="N226" s="8" t="s">
        <v>497</v>
      </c>
      <c r="O226" s="17">
        <v>277</v>
      </c>
      <c r="P226" s="17">
        <v>29</v>
      </c>
      <c r="Q226" s="18">
        <v>2.4</v>
      </c>
      <c r="R226" s="19"/>
      <c r="S226" s="8" t="s">
        <v>66</v>
      </c>
      <c r="T226" s="8"/>
      <c r="U226" s="10"/>
      <c r="V226" s="8"/>
      <c r="W226" s="10"/>
      <c r="X226" s="9"/>
      <c r="Y226" s="20"/>
      <c r="Z226" s="9"/>
    </row>
    <row r="227" spans="1:26" x14ac:dyDescent="0.25">
      <c r="A227" s="21" t="str">
        <f>IF(AND(COUNTBLANK('Bid Sheet'!$R$227:$R$227)=1,COUNTBLANK('Bid Sheet'!$U$227:$U$227)=1,COUNTBLANK('Bid Sheet'!$W$227:$Z$227)=4),"",IF(OR(COUNTBLANK('Bid Sheet'!$R$227:$R$227)&gt;0,COUNTBLANK('Bid Sheet'!$X$227:$X$227)&gt;0, SUM(COUNTBLANK('Bid Sheet'!$D$3:$E$3), COUNTBLANK('Bid Sheet'!$D$4:$E$4), COUNTBLANK('Bid Sheet'!$D$5:$E$5), COUNTBLANK('Bid Sheet'!$D$6:$E$6), COUNTBLANK('Bid Sheet'!$D$7:$E$7))&gt;0), "No", "Yes"))</f>
        <v/>
      </c>
      <c r="B227" s="21"/>
      <c r="C227" s="21" t="s">
        <v>341</v>
      </c>
      <c r="D227" s="21" t="s">
        <v>488</v>
      </c>
      <c r="E227" s="21" t="s">
        <v>489</v>
      </c>
      <c r="F227" s="21" t="s">
        <v>490</v>
      </c>
      <c r="G227" s="21" t="s">
        <v>491</v>
      </c>
      <c r="H227" s="21" t="s">
        <v>492</v>
      </c>
      <c r="I227" s="21" t="s">
        <v>899</v>
      </c>
      <c r="J227" s="21" t="s">
        <v>900</v>
      </c>
      <c r="K227" s="21" t="s">
        <v>873</v>
      </c>
      <c r="L227" s="22">
        <v>904</v>
      </c>
      <c r="M227" s="21" t="s">
        <v>496</v>
      </c>
      <c r="N227" s="21" t="s">
        <v>497</v>
      </c>
      <c r="O227" s="22">
        <v>396</v>
      </c>
      <c r="P227" s="22">
        <v>20</v>
      </c>
      <c r="Q227" s="23">
        <v>1.7</v>
      </c>
      <c r="R227" s="24"/>
      <c r="S227" s="21" t="s">
        <v>66</v>
      </c>
      <c r="T227" s="21"/>
      <c r="U227" s="12"/>
      <c r="V227" s="21"/>
      <c r="W227" s="12"/>
      <c r="X227" s="11"/>
      <c r="Y227" s="25"/>
      <c r="Z227" s="11"/>
    </row>
    <row r="228" spans="1:26" x14ac:dyDescent="0.25">
      <c r="A228" s="8" t="str">
        <f>IF(AND(COUNTBLANK('Bid Sheet'!$R$228:$R$228)=1,COUNTBLANK('Bid Sheet'!$U$228:$U$228)=1,COUNTBLANK('Bid Sheet'!$W$228:$Z$228)=4),"",IF(OR(COUNTBLANK('Bid Sheet'!$R$228:$R$228)&gt;0,COUNTBLANK('Bid Sheet'!$X$228:$X$228)&gt;0, SUM(COUNTBLANK('Bid Sheet'!$D$3:$E$3), COUNTBLANK('Bid Sheet'!$D$4:$E$4), COUNTBLANK('Bid Sheet'!$D$5:$E$5), COUNTBLANK('Bid Sheet'!$D$6:$E$6), COUNTBLANK('Bid Sheet'!$D$7:$E$7))&gt;0), "No", "Yes"))</f>
        <v/>
      </c>
      <c r="B228" s="8"/>
      <c r="C228" s="8" t="s">
        <v>342</v>
      </c>
      <c r="D228" s="8" t="s">
        <v>488</v>
      </c>
      <c r="E228" s="8" t="s">
        <v>489</v>
      </c>
      <c r="F228" s="8" t="s">
        <v>490</v>
      </c>
      <c r="G228" s="8" t="s">
        <v>491</v>
      </c>
      <c r="H228" s="8" t="s">
        <v>492</v>
      </c>
      <c r="I228" s="8" t="s">
        <v>901</v>
      </c>
      <c r="J228" s="8" t="s">
        <v>902</v>
      </c>
      <c r="K228" s="8" t="s">
        <v>903</v>
      </c>
      <c r="L228" s="17">
        <v>1106</v>
      </c>
      <c r="M228" s="8" t="s">
        <v>496</v>
      </c>
      <c r="N228" s="8" t="s">
        <v>497</v>
      </c>
      <c r="O228" s="17">
        <v>467</v>
      </c>
      <c r="P228" s="17">
        <v>21</v>
      </c>
      <c r="Q228" s="18">
        <v>1.8</v>
      </c>
      <c r="R228" s="19"/>
      <c r="S228" s="8" t="s">
        <v>66</v>
      </c>
      <c r="T228" s="8"/>
      <c r="U228" s="10"/>
      <c r="V228" s="8"/>
      <c r="W228" s="10"/>
      <c r="X228" s="9"/>
      <c r="Y228" s="20"/>
      <c r="Z228" s="9"/>
    </row>
    <row r="229" spans="1:26" x14ac:dyDescent="0.25">
      <c r="A229" s="21" t="str">
        <f>IF(AND(COUNTBLANK('Bid Sheet'!$R$229:$R$229)=1,COUNTBLANK('Bid Sheet'!$U$229:$U$229)=1,COUNTBLANK('Bid Sheet'!$W$229:$Z$229)=4),"",IF(OR(COUNTBLANK('Bid Sheet'!$R$229:$R$229)&gt;0,COUNTBLANK('Bid Sheet'!$X$229:$X$229)&gt;0, SUM(COUNTBLANK('Bid Sheet'!$D$3:$E$3), COUNTBLANK('Bid Sheet'!$D$4:$E$4), COUNTBLANK('Bid Sheet'!$D$5:$E$5), COUNTBLANK('Bid Sheet'!$D$6:$E$6), COUNTBLANK('Bid Sheet'!$D$7:$E$7))&gt;0), "No", "Yes"))</f>
        <v/>
      </c>
      <c r="B229" s="21"/>
      <c r="C229" s="21" t="s">
        <v>343</v>
      </c>
      <c r="D229" s="21" t="s">
        <v>488</v>
      </c>
      <c r="E229" s="21" t="s">
        <v>489</v>
      </c>
      <c r="F229" s="21" t="s">
        <v>490</v>
      </c>
      <c r="G229" s="21" t="s">
        <v>491</v>
      </c>
      <c r="H229" s="21" t="s">
        <v>492</v>
      </c>
      <c r="I229" s="21" t="s">
        <v>904</v>
      </c>
      <c r="J229" s="21" t="s">
        <v>905</v>
      </c>
      <c r="K229" s="21" t="s">
        <v>903</v>
      </c>
      <c r="L229" s="22">
        <v>1157</v>
      </c>
      <c r="M229" s="21" t="s">
        <v>496</v>
      </c>
      <c r="N229" s="21" t="s">
        <v>497</v>
      </c>
      <c r="O229" s="22">
        <v>475</v>
      </c>
      <c r="P229" s="22">
        <v>91</v>
      </c>
      <c r="Q229" s="23">
        <v>7.6</v>
      </c>
      <c r="R229" s="24"/>
      <c r="S229" s="21" t="s">
        <v>66</v>
      </c>
      <c r="T229" s="21" t="s">
        <v>501</v>
      </c>
      <c r="U229" s="12"/>
      <c r="V229" s="21"/>
      <c r="W229" s="12"/>
      <c r="X229" s="11"/>
      <c r="Y229" s="25"/>
      <c r="Z229" s="11"/>
    </row>
    <row r="230" spans="1:26" x14ac:dyDescent="0.25">
      <c r="A230" s="8" t="str">
        <f>IF(AND(COUNTBLANK('Bid Sheet'!$R$230:$R$230)=1,COUNTBLANK('Bid Sheet'!$U$230:$U$230)=1,COUNTBLANK('Bid Sheet'!$W$230:$Z$230)=4),"",IF(OR(COUNTBLANK('Bid Sheet'!$R$230:$R$230)&gt;0,COUNTBLANK('Bid Sheet'!$X$230:$X$230)&gt;0, SUM(COUNTBLANK('Bid Sheet'!$D$3:$E$3), COUNTBLANK('Bid Sheet'!$D$4:$E$4), COUNTBLANK('Bid Sheet'!$D$5:$E$5), COUNTBLANK('Bid Sheet'!$D$6:$E$6), COUNTBLANK('Bid Sheet'!$D$7:$E$7))&gt;0), "No", "Yes"))</f>
        <v/>
      </c>
      <c r="B230" s="8"/>
      <c r="C230" s="8" t="s">
        <v>344</v>
      </c>
      <c r="D230" s="8" t="s">
        <v>488</v>
      </c>
      <c r="E230" s="8" t="s">
        <v>489</v>
      </c>
      <c r="F230" s="8" t="s">
        <v>490</v>
      </c>
      <c r="G230" s="8" t="s">
        <v>491</v>
      </c>
      <c r="H230" s="8" t="s">
        <v>492</v>
      </c>
      <c r="I230" s="8" t="s">
        <v>906</v>
      </c>
      <c r="J230" s="8" t="s">
        <v>907</v>
      </c>
      <c r="K230" s="8" t="s">
        <v>903</v>
      </c>
      <c r="L230" s="17">
        <v>1099</v>
      </c>
      <c r="M230" s="8" t="s">
        <v>496</v>
      </c>
      <c r="N230" s="8" t="s">
        <v>497</v>
      </c>
      <c r="O230" s="17">
        <v>463</v>
      </c>
      <c r="P230" s="17">
        <v>22</v>
      </c>
      <c r="Q230" s="18">
        <v>1.8</v>
      </c>
      <c r="R230" s="19"/>
      <c r="S230" s="8" t="s">
        <v>66</v>
      </c>
      <c r="T230" s="8"/>
      <c r="U230" s="10"/>
      <c r="V230" s="8"/>
      <c r="W230" s="10"/>
      <c r="X230" s="9"/>
      <c r="Y230" s="20"/>
      <c r="Z230" s="9"/>
    </row>
    <row r="231" spans="1:26" x14ac:dyDescent="0.25">
      <c r="A231" s="21" t="str">
        <f>IF(AND(COUNTBLANK('Bid Sheet'!$R$231:$R$231)=1,COUNTBLANK('Bid Sheet'!$U$231:$U$231)=1,COUNTBLANK('Bid Sheet'!$W$231:$Z$231)=4),"",IF(OR(COUNTBLANK('Bid Sheet'!$R$231:$R$231)&gt;0,COUNTBLANK('Bid Sheet'!$X$231:$X$231)&gt;0, SUM(COUNTBLANK('Bid Sheet'!$D$3:$E$3), COUNTBLANK('Bid Sheet'!$D$4:$E$4), COUNTBLANK('Bid Sheet'!$D$5:$E$5), COUNTBLANK('Bid Sheet'!$D$6:$E$6), COUNTBLANK('Bid Sheet'!$D$7:$E$7))&gt;0), "No", "Yes"))</f>
        <v/>
      </c>
      <c r="B231" s="21"/>
      <c r="C231" s="21" t="s">
        <v>345</v>
      </c>
      <c r="D231" s="21" t="s">
        <v>488</v>
      </c>
      <c r="E231" s="21" t="s">
        <v>489</v>
      </c>
      <c r="F231" s="21" t="s">
        <v>502</v>
      </c>
      <c r="G231" s="21" t="s">
        <v>503</v>
      </c>
      <c r="H231" s="21" t="s">
        <v>504</v>
      </c>
      <c r="I231" s="21" t="s">
        <v>908</v>
      </c>
      <c r="J231" s="21" t="s">
        <v>909</v>
      </c>
      <c r="K231" s="21" t="s">
        <v>910</v>
      </c>
      <c r="L231" s="22">
        <v>285</v>
      </c>
      <c r="M231" s="21" t="s">
        <v>496</v>
      </c>
      <c r="N231" s="21" t="s">
        <v>497</v>
      </c>
      <c r="O231" s="22">
        <v>148</v>
      </c>
      <c r="P231" s="22">
        <v>10</v>
      </c>
      <c r="Q231" s="23">
        <v>0.8</v>
      </c>
      <c r="R231" s="24"/>
      <c r="S231" s="21" t="s">
        <v>66</v>
      </c>
      <c r="T231" s="21"/>
      <c r="U231" s="12"/>
      <c r="V231" s="21"/>
      <c r="W231" s="12"/>
      <c r="X231" s="11"/>
      <c r="Y231" s="25"/>
      <c r="Z231" s="11"/>
    </row>
    <row r="232" spans="1:26" x14ac:dyDescent="0.25">
      <c r="A232" s="8" t="str">
        <f>IF(AND(COUNTBLANK('Bid Sheet'!$R$232:$R$232)=1,COUNTBLANK('Bid Sheet'!$U$232:$U$232)=1,COUNTBLANK('Bid Sheet'!$W$232:$Z$232)=4),"",IF(OR(COUNTBLANK('Bid Sheet'!$R$232:$R$232)&gt;0,COUNTBLANK('Bid Sheet'!$X$232:$X$232)&gt;0, SUM(COUNTBLANK('Bid Sheet'!$D$3:$E$3), COUNTBLANK('Bid Sheet'!$D$4:$E$4), COUNTBLANK('Bid Sheet'!$D$5:$E$5), COUNTBLANK('Bid Sheet'!$D$6:$E$6), COUNTBLANK('Bid Sheet'!$D$7:$E$7))&gt;0), "No", "Yes"))</f>
        <v/>
      </c>
      <c r="B232" s="8"/>
      <c r="C232" s="8" t="s">
        <v>346</v>
      </c>
      <c r="D232" s="8" t="s">
        <v>488</v>
      </c>
      <c r="E232" s="8" t="s">
        <v>489</v>
      </c>
      <c r="F232" s="8" t="s">
        <v>490</v>
      </c>
      <c r="G232" s="8" t="s">
        <v>491</v>
      </c>
      <c r="H232" s="8" t="s">
        <v>492</v>
      </c>
      <c r="I232" s="8" t="s">
        <v>911</v>
      </c>
      <c r="J232" s="8" t="s">
        <v>912</v>
      </c>
      <c r="K232" s="8" t="s">
        <v>910</v>
      </c>
      <c r="L232" s="17">
        <v>838</v>
      </c>
      <c r="M232" s="8" t="s">
        <v>496</v>
      </c>
      <c r="N232" s="8" t="s">
        <v>497</v>
      </c>
      <c r="O232" s="17">
        <v>371</v>
      </c>
      <c r="P232" s="17">
        <v>32</v>
      </c>
      <c r="Q232" s="18">
        <v>2.7</v>
      </c>
      <c r="R232" s="19"/>
      <c r="S232" s="8" t="s">
        <v>66</v>
      </c>
      <c r="T232" s="8"/>
      <c r="U232" s="10"/>
      <c r="V232" s="8"/>
      <c r="W232" s="10"/>
      <c r="X232" s="9"/>
      <c r="Y232" s="20"/>
      <c r="Z232" s="9"/>
    </row>
    <row r="233" spans="1:26" x14ac:dyDescent="0.25">
      <c r="A233" s="21" t="str">
        <f>IF(AND(COUNTBLANK('Bid Sheet'!$R$233:$R$233)=1,COUNTBLANK('Bid Sheet'!$U$233:$U$233)=1,COUNTBLANK('Bid Sheet'!$W$233:$Z$233)=4),"",IF(OR(COUNTBLANK('Bid Sheet'!$R$233:$R$233)&gt;0,COUNTBLANK('Bid Sheet'!$X$233:$X$233)&gt;0, SUM(COUNTBLANK('Bid Sheet'!$D$3:$E$3), COUNTBLANK('Bid Sheet'!$D$4:$E$4), COUNTBLANK('Bid Sheet'!$D$5:$E$5), COUNTBLANK('Bid Sheet'!$D$6:$E$6), COUNTBLANK('Bid Sheet'!$D$7:$E$7))&gt;0), "No", "Yes"))</f>
        <v/>
      </c>
      <c r="B233" s="21"/>
      <c r="C233" s="21" t="s">
        <v>347</v>
      </c>
      <c r="D233" s="21" t="s">
        <v>488</v>
      </c>
      <c r="E233" s="21" t="s">
        <v>489</v>
      </c>
      <c r="F233" s="21" t="s">
        <v>502</v>
      </c>
      <c r="G233" s="21" t="s">
        <v>503</v>
      </c>
      <c r="H233" s="21" t="s">
        <v>504</v>
      </c>
      <c r="I233" s="21" t="s">
        <v>913</v>
      </c>
      <c r="J233" s="21" t="s">
        <v>914</v>
      </c>
      <c r="K233" s="21" t="s">
        <v>910</v>
      </c>
      <c r="L233" s="22">
        <v>246</v>
      </c>
      <c r="M233" s="21" t="s">
        <v>496</v>
      </c>
      <c r="N233" s="21" t="s">
        <v>497</v>
      </c>
      <c r="O233" s="22">
        <v>131</v>
      </c>
      <c r="P233" s="22">
        <v>6</v>
      </c>
      <c r="Q233" s="23">
        <v>0.5</v>
      </c>
      <c r="R233" s="24"/>
      <c r="S233" s="21" t="s">
        <v>66</v>
      </c>
      <c r="T233" s="21"/>
      <c r="U233" s="12"/>
      <c r="V233" s="21"/>
      <c r="W233" s="12"/>
      <c r="X233" s="11"/>
      <c r="Y233" s="25"/>
      <c r="Z233" s="11"/>
    </row>
    <row r="234" spans="1:26" x14ac:dyDescent="0.25">
      <c r="A234" s="8" t="str">
        <f>IF(AND(COUNTBLANK('Bid Sheet'!$R$234:$R$234)=1,COUNTBLANK('Bid Sheet'!$U$234:$U$234)=1,COUNTBLANK('Bid Sheet'!$W$234:$Z$234)=4),"",IF(OR(COUNTBLANK('Bid Sheet'!$R$234:$R$234)&gt;0,COUNTBLANK('Bid Sheet'!$X$234:$X$234)&gt;0, SUM(COUNTBLANK('Bid Sheet'!$D$3:$E$3), COUNTBLANK('Bid Sheet'!$D$4:$E$4), COUNTBLANK('Bid Sheet'!$D$5:$E$5), COUNTBLANK('Bid Sheet'!$D$6:$E$6), COUNTBLANK('Bid Sheet'!$D$7:$E$7))&gt;0), "No", "Yes"))</f>
        <v/>
      </c>
      <c r="B234" s="8"/>
      <c r="C234" s="8" t="s">
        <v>348</v>
      </c>
      <c r="D234" s="8" t="s">
        <v>488</v>
      </c>
      <c r="E234" s="8" t="s">
        <v>489</v>
      </c>
      <c r="F234" s="8" t="s">
        <v>502</v>
      </c>
      <c r="G234" s="8" t="s">
        <v>503</v>
      </c>
      <c r="H234" s="8" t="s">
        <v>504</v>
      </c>
      <c r="I234" s="8" t="s">
        <v>915</v>
      </c>
      <c r="J234" s="8" t="s">
        <v>916</v>
      </c>
      <c r="K234" s="8" t="s">
        <v>910</v>
      </c>
      <c r="L234" s="17">
        <v>287</v>
      </c>
      <c r="M234" s="8" t="s">
        <v>496</v>
      </c>
      <c r="N234" s="8" t="s">
        <v>497</v>
      </c>
      <c r="O234" s="17">
        <v>152</v>
      </c>
      <c r="P234" s="17">
        <v>115</v>
      </c>
      <c r="Q234" s="18">
        <v>9.6</v>
      </c>
      <c r="R234" s="19"/>
      <c r="S234" s="8" t="s">
        <v>66</v>
      </c>
      <c r="T234" s="8" t="s">
        <v>501</v>
      </c>
      <c r="U234" s="10"/>
      <c r="V234" s="8"/>
      <c r="W234" s="10"/>
      <c r="X234" s="9"/>
      <c r="Y234" s="20"/>
      <c r="Z234" s="9"/>
    </row>
    <row r="235" spans="1:26" x14ac:dyDescent="0.25">
      <c r="A235" s="21" t="str">
        <f>IF(AND(COUNTBLANK('Bid Sheet'!$R$235:$R$235)=1,COUNTBLANK('Bid Sheet'!$U$235:$U$235)=1,COUNTBLANK('Bid Sheet'!$W$235:$Z$235)=4),"",IF(OR(COUNTBLANK('Bid Sheet'!$R$235:$R$235)&gt;0,COUNTBLANK('Bid Sheet'!$X$235:$X$235)&gt;0, SUM(COUNTBLANK('Bid Sheet'!$D$3:$E$3), COUNTBLANK('Bid Sheet'!$D$4:$E$4), COUNTBLANK('Bid Sheet'!$D$5:$E$5), COUNTBLANK('Bid Sheet'!$D$6:$E$6), COUNTBLANK('Bid Sheet'!$D$7:$E$7))&gt;0), "No", "Yes"))</f>
        <v/>
      </c>
      <c r="B235" s="21"/>
      <c r="C235" s="21" t="s">
        <v>349</v>
      </c>
      <c r="D235" s="21" t="s">
        <v>488</v>
      </c>
      <c r="E235" s="21" t="s">
        <v>489</v>
      </c>
      <c r="F235" s="21" t="s">
        <v>502</v>
      </c>
      <c r="G235" s="21" t="s">
        <v>503</v>
      </c>
      <c r="H235" s="21" t="s">
        <v>504</v>
      </c>
      <c r="I235" s="21" t="s">
        <v>917</v>
      </c>
      <c r="J235" s="21" t="s">
        <v>918</v>
      </c>
      <c r="K235" s="21" t="s">
        <v>910</v>
      </c>
      <c r="L235" s="22">
        <v>298</v>
      </c>
      <c r="M235" s="21" t="s">
        <v>496</v>
      </c>
      <c r="N235" s="21" t="s">
        <v>497</v>
      </c>
      <c r="O235" s="22">
        <v>154</v>
      </c>
      <c r="P235" s="22">
        <v>20</v>
      </c>
      <c r="Q235" s="23">
        <v>1.7</v>
      </c>
      <c r="R235" s="24"/>
      <c r="S235" s="21" t="s">
        <v>66</v>
      </c>
      <c r="T235" s="21"/>
      <c r="U235" s="12"/>
      <c r="V235" s="21"/>
      <c r="W235" s="12"/>
      <c r="X235" s="11"/>
      <c r="Y235" s="25"/>
      <c r="Z235" s="11"/>
    </row>
    <row r="236" spans="1:26" x14ac:dyDescent="0.25">
      <c r="A236" s="8" t="str">
        <f>IF(AND(COUNTBLANK('Bid Sheet'!$R$236:$R$236)=1,COUNTBLANK('Bid Sheet'!$U$236:$U$236)=1,COUNTBLANK('Bid Sheet'!$W$236:$Z$236)=4),"",IF(OR(COUNTBLANK('Bid Sheet'!$R$236:$R$236)&gt;0,COUNTBLANK('Bid Sheet'!$X$236:$X$236)&gt;0, SUM(COUNTBLANK('Bid Sheet'!$D$3:$E$3), COUNTBLANK('Bid Sheet'!$D$4:$E$4), COUNTBLANK('Bid Sheet'!$D$5:$E$5), COUNTBLANK('Bid Sheet'!$D$6:$E$6), COUNTBLANK('Bid Sheet'!$D$7:$E$7))&gt;0), "No", "Yes"))</f>
        <v/>
      </c>
      <c r="B236" s="8"/>
      <c r="C236" s="8" t="s">
        <v>350</v>
      </c>
      <c r="D236" s="8" t="s">
        <v>488</v>
      </c>
      <c r="E236" s="8" t="s">
        <v>489</v>
      </c>
      <c r="F236" s="8" t="s">
        <v>502</v>
      </c>
      <c r="G236" s="8" t="s">
        <v>503</v>
      </c>
      <c r="H236" s="8" t="s">
        <v>504</v>
      </c>
      <c r="I236" s="8" t="s">
        <v>919</v>
      </c>
      <c r="J236" s="8" t="s">
        <v>920</v>
      </c>
      <c r="K236" s="8" t="s">
        <v>910</v>
      </c>
      <c r="L236" s="17">
        <v>339</v>
      </c>
      <c r="M236" s="8" t="s">
        <v>496</v>
      </c>
      <c r="N236" s="8" t="s">
        <v>497</v>
      </c>
      <c r="O236" s="17">
        <v>171</v>
      </c>
      <c r="P236" s="17">
        <v>42</v>
      </c>
      <c r="Q236" s="18">
        <v>3.5</v>
      </c>
      <c r="R236" s="19"/>
      <c r="S236" s="8" t="s">
        <v>66</v>
      </c>
      <c r="T236" s="8"/>
      <c r="U236" s="10"/>
      <c r="V236" s="8"/>
      <c r="W236" s="10"/>
      <c r="X236" s="9"/>
      <c r="Y236" s="20"/>
      <c r="Z236" s="9"/>
    </row>
    <row r="237" spans="1:26" x14ac:dyDescent="0.25">
      <c r="A237" s="21" t="str">
        <f>IF(AND(COUNTBLANK('Bid Sheet'!$R$237:$R$237)=1,COUNTBLANK('Bid Sheet'!$U$237:$U$237)=1,COUNTBLANK('Bid Sheet'!$W$237:$Z$237)=4),"",IF(OR(COUNTBLANK('Bid Sheet'!$R$237:$R$237)&gt;0,COUNTBLANK('Bid Sheet'!$X$237:$X$237)&gt;0, SUM(COUNTBLANK('Bid Sheet'!$D$3:$E$3), COUNTBLANK('Bid Sheet'!$D$4:$E$4), COUNTBLANK('Bid Sheet'!$D$5:$E$5), COUNTBLANK('Bid Sheet'!$D$6:$E$6), COUNTBLANK('Bid Sheet'!$D$7:$E$7))&gt;0), "No", "Yes"))</f>
        <v/>
      </c>
      <c r="B237" s="21"/>
      <c r="C237" s="21" t="s">
        <v>351</v>
      </c>
      <c r="D237" s="21" t="s">
        <v>488</v>
      </c>
      <c r="E237" s="21" t="s">
        <v>489</v>
      </c>
      <c r="F237" s="21" t="s">
        <v>502</v>
      </c>
      <c r="G237" s="21" t="s">
        <v>503</v>
      </c>
      <c r="H237" s="21" t="s">
        <v>504</v>
      </c>
      <c r="I237" s="21" t="s">
        <v>921</v>
      </c>
      <c r="J237" s="21" t="s">
        <v>922</v>
      </c>
      <c r="K237" s="21" t="s">
        <v>910</v>
      </c>
      <c r="L237" s="22">
        <v>471</v>
      </c>
      <c r="M237" s="21" t="s">
        <v>496</v>
      </c>
      <c r="N237" s="21" t="s">
        <v>497</v>
      </c>
      <c r="O237" s="22">
        <v>233</v>
      </c>
      <c r="P237" s="22">
        <v>21</v>
      </c>
      <c r="Q237" s="23">
        <v>1.8</v>
      </c>
      <c r="R237" s="24"/>
      <c r="S237" s="21" t="s">
        <v>66</v>
      </c>
      <c r="T237" s="21"/>
      <c r="U237" s="12"/>
      <c r="V237" s="21"/>
      <c r="W237" s="12"/>
      <c r="X237" s="11"/>
      <c r="Y237" s="25"/>
      <c r="Z237" s="11"/>
    </row>
    <row r="238" spans="1:26" x14ac:dyDescent="0.25">
      <c r="A238" s="8" t="str">
        <f>IF(AND(COUNTBLANK('Bid Sheet'!$R$238:$R$238)=1,COUNTBLANK('Bid Sheet'!$U$238:$U$238)=1,COUNTBLANK('Bid Sheet'!$W$238:$Z$238)=4),"",IF(OR(COUNTBLANK('Bid Sheet'!$R$238:$R$238)&gt;0,COUNTBLANK('Bid Sheet'!$X$238:$X$238)&gt;0, SUM(COUNTBLANK('Bid Sheet'!$D$3:$E$3), COUNTBLANK('Bid Sheet'!$D$4:$E$4), COUNTBLANK('Bid Sheet'!$D$5:$E$5), COUNTBLANK('Bid Sheet'!$D$6:$E$6), COUNTBLANK('Bid Sheet'!$D$7:$E$7))&gt;0), "No", "Yes"))</f>
        <v/>
      </c>
      <c r="B238" s="8"/>
      <c r="C238" s="8" t="s">
        <v>352</v>
      </c>
      <c r="D238" s="8" t="s">
        <v>488</v>
      </c>
      <c r="E238" s="8" t="s">
        <v>489</v>
      </c>
      <c r="F238" s="8" t="s">
        <v>490</v>
      </c>
      <c r="G238" s="8" t="s">
        <v>491</v>
      </c>
      <c r="H238" s="8" t="s">
        <v>492</v>
      </c>
      <c r="I238" s="8" t="s">
        <v>923</v>
      </c>
      <c r="J238" s="8" t="s">
        <v>924</v>
      </c>
      <c r="K238" s="8" t="s">
        <v>925</v>
      </c>
      <c r="L238" s="17">
        <v>1880</v>
      </c>
      <c r="M238" s="8" t="s">
        <v>496</v>
      </c>
      <c r="N238" s="8" t="s">
        <v>497</v>
      </c>
      <c r="O238" s="17">
        <v>886</v>
      </c>
      <c r="P238" s="17">
        <v>51</v>
      </c>
      <c r="Q238" s="18">
        <v>4.3</v>
      </c>
      <c r="R238" s="19"/>
      <c r="S238" s="8" t="s">
        <v>66</v>
      </c>
      <c r="T238" s="8"/>
      <c r="U238" s="10"/>
      <c r="V238" s="8"/>
      <c r="W238" s="10"/>
      <c r="X238" s="9"/>
      <c r="Y238" s="20"/>
      <c r="Z238" s="9"/>
    </row>
    <row r="239" spans="1:26" x14ac:dyDescent="0.25">
      <c r="A239" s="21" t="str">
        <f>IF(AND(COUNTBLANK('Bid Sheet'!$R$239:$R$239)=1,COUNTBLANK('Bid Sheet'!$U$239:$U$239)=1,COUNTBLANK('Bid Sheet'!$W$239:$Z$239)=4),"",IF(OR(COUNTBLANK('Bid Sheet'!$R$239:$R$239)&gt;0,COUNTBLANK('Bid Sheet'!$X$239:$X$239)&gt;0, SUM(COUNTBLANK('Bid Sheet'!$D$3:$E$3), COUNTBLANK('Bid Sheet'!$D$4:$E$4), COUNTBLANK('Bid Sheet'!$D$5:$E$5), COUNTBLANK('Bid Sheet'!$D$6:$E$6), COUNTBLANK('Bid Sheet'!$D$7:$E$7))&gt;0), "No", "Yes"))</f>
        <v/>
      </c>
      <c r="B239" s="21"/>
      <c r="C239" s="21" t="s">
        <v>353</v>
      </c>
      <c r="D239" s="21" t="s">
        <v>488</v>
      </c>
      <c r="E239" s="21" t="s">
        <v>489</v>
      </c>
      <c r="F239" s="21" t="s">
        <v>490</v>
      </c>
      <c r="G239" s="21" t="s">
        <v>491</v>
      </c>
      <c r="H239" s="21" t="s">
        <v>492</v>
      </c>
      <c r="I239" s="21" t="s">
        <v>926</v>
      </c>
      <c r="J239" s="21" t="s">
        <v>927</v>
      </c>
      <c r="K239" s="21" t="s">
        <v>925</v>
      </c>
      <c r="L239" s="22">
        <v>1905</v>
      </c>
      <c r="M239" s="21" t="s">
        <v>534</v>
      </c>
      <c r="N239" s="21" t="s">
        <v>497</v>
      </c>
      <c r="O239" s="22">
        <v>385</v>
      </c>
      <c r="P239" s="22">
        <v>6</v>
      </c>
      <c r="Q239" s="23">
        <v>0.5</v>
      </c>
      <c r="R239" s="24"/>
      <c r="S239" s="21" t="s">
        <v>66</v>
      </c>
      <c r="T239" s="21"/>
      <c r="U239" s="12"/>
      <c r="V239" s="21"/>
      <c r="W239" s="12"/>
      <c r="X239" s="11"/>
      <c r="Y239" s="25"/>
      <c r="Z239" s="11"/>
    </row>
    <row r="240" spans="1:26" x14ac:dyDescent="0.25">
      <c r="A240" s="8" t="str">
        <f>IF(AND(COUNTBLANK('Bid Sheet'!$R$240:$R$240)=1,COUNTBLANK('Bid Sheet'!$U$240:$U$240)=1,COUNTBLANK('Bid Sheet'!$W$240:$Z$240)=4),"",IF(OR(COUNTBLANK('Bid Sheet'!$R$240:$R$240)&gt;0,COUNTBLANK('Bid Sheet'!$X$240:$X$240)&gt;0, SUM(COUNTBLANK('Bid Sheet'!$D$3:$E$3), COUNTBLANK('Bid Sheet'!$D$4:$E$4), COUNTBLANK('Bid Sheet'!$D$5:$E$5), COUNTBLANK('Bid Sheet'!$D$6:$E$6), COUNTBLANK('Bid Sheet'!$D$7:$E$7))&gt;0), "No", "Yes"))</f>
        <v/>
      </c>
      <c r="B240" s="8"/>
      <c r="C240" s="8" t="s">
        <v>354</v>
      </c>
      <c r="D240" s="8" t="s">
        <v>488</v>
      </c>
      <c r="E240" s="8" t="s">
        <v>489</v>
      </c>
      <c r="F240" s="8" t="s">
        <v>490</v>
      </c>
      <c r="G240" s="8" t="s">
        <v>491</v>
      </c>
      <c r="H240" s="8" t="s">
        <v>492</v>
      </c>
      <c r="I240" s="8" t="s">
        <v>928</v>
      </c>
      <c r="J240" s="8" t="s">
        <v>929</v>
      </c>
      <c r="K240" s="8" t="s">
        <v>925</v>
      </c>
      <c r="L240" s="17">
        <v>1714</v>
      </c>
      <c r="M240" s="8" t="s">
        <v>496</v>
      </c>
      <c r="N240" s="8" t="s">
        <v>497</v>
      </c>
      <c r="O240" s="17">
        <v>763</v>
      </c>
      <c r="P240" s="17">
        <v>86</v>
      </c>
      <c r="Q240" s="18">
        <v>7.2</v>
      </c>
      <c r="R240" s="19"/>
      <c r="S240" s="8" t="s">
        <v>66</v>
      </c>
      <c r="T240" s="8" t="s">
        <v>501</v>
      </c>
      <c r="U240" s="10"/>
      <c r="V240" s="8"/>
      <c r="W240" s="10"/>
      <c r="X240" s="9"/>
      <c r="Y240" s="20"/>
      <c r="Z240" s="9"/>
    </row>
    <row r="241" spans="1:26" x14ac:dyDescent="0.25">
      <c r="A241" s="21" t="str">
        <f>IF(AND(COUNTBLANK('Bid Sheet'!$R$241:$R$241)=1,COUNTBLANK('Bid Sheet'!$U$241:$U$241)=1,COUNTBLANK('Bid Sheet'!$W$241:$Z$241)=4),"",IF(OR(COUNTBLANK('Bid Sheet'!$R$241:$R$241)&gt;0,COUNTBLANK('Bid Sheet'!$X$241:$X$241)&gt;0, SUM(COUNTBLANK('Bid Sheet'!$D$3:$E$3), COUNTBLANK('Bid Sheet'!$D$4:$E$4), COUNTBLANK('Bid Sheet'!$D$5:$E$5), COUNTBLANK('Bid Sheet'!$D$6:$E$6), COUNTBLANK('Bid Sheet'!$D$7:$E$7))&gt;0), "No", "Yes"))</f>
        <v/>
      </c>
      <c r="B241" s="21"/>
      <c r="C241" s="21" t="s">
        <v>355</v>
      </c>
      <c r="D241" s="21" t="s">
        <v>488</v>
      </c>
      <c r="E241" s="21" t="s">
        <v>489</v>
      </c>
      <c r="F241" s="21" t="s">
        <v>490</v>
      </c>
      <c r="G241" s="21" t="s">
        <v>491</v>
      </c>
      <c r="H241" s="21" t="s">
        <v>492</v>
      </c>
      <c r="I241" s="21" t="s">
        <v>928</v>
      </c>
      <c r="J241" s="21" t="s">
        <v>929</v>
      </c>
      <c r="K241" s="21" t="s">
        <v>925</v>
      </c>
      <c r="L241" s="22">
        <v>1714</v>
      </c>
      <c r="M241" s="21" t="s">
        <v>534</v>
      </c>
      <c r="N241" s="21" t="s">
        <v>497</v>
      </c>
      <c r="O241" s="22">
        <v>407</v>
      </c>
      <c r="P241" s="22">
        <v>12</v>
      </c>
      <c r="Q241" s="23">
        <v>1</v>
      </c>
      <c r="R241" s="24"/>
      <c r="S241" s="21" t="s">
        <v>66</v>
      </c>
      <c r="T241" s="21" t="s">
        <v>501</v>
      </c>
      <c r="U241" s="12"/>
      <c r="V241" s="21"/>
      <c r="W241" s="12"/>
      <c r="X241" s="11"/>
      <c r="Y241" s="25"/>
      <c r="Z241" s="11"/>
    </row>
    <row r="242" spans="1:26" x14ac:dyDescent="0.25">
      <c r="A242" s="8" t="str">
        <f>IF(AND(COUNTBLANK('Bid Sheet'!$R$242:$R$242)=1,COUNTBLANK('Bid Sheet'!$U$242:$U$242)=1,COUNTBLANK('Bid Sheet'!$W$242:$Z$242)=4),"",IF(OR(COUNTBLANK('Bid Sheet'!$R$242:$R$242)&gt;0,COUNTBLANK('Bid Sheet'!$X$242:$X$242)&gt;0, SUM(COUNTBLANK('Bid Sheet'!$D$3:$E$3), COUNTBLANK('Bid Sheet'!$D$4:$E$4), COUNTBLANK('Bid Sheet'!$D$5:$E$5), COUNTBLANK('Bid Sheet'!$D$6:$E$6), COUNTBLANK('Bid Sheet'!$D$7:$E$7))&gt;0), "No", "Yes"))</f>
        <v/>
      </c>
      <c r="B242" s="8"/>
      <c r="C242" s="8" t="s">
        <v>356</v>
      </c>
      <c r="D242" s="8" t="s">
        <v>488</v>
      </c>
      <c r="E242" s="8" t="s">
        <v>489</v>
      </c>
      <c r="F242" s="8" t="s">
        <v>490</v>
      </c>
      <c r="G242" s="8" t="s">
        <v>491</v>
      </c>
      <c r="H242" s="8" t="s">
        <v>492</v>
      </c>
      <c r="I242" s="8" t="s">
        <v>930</v>
      </c>
      <c r="J242" s="8" t="s">
        <v>931</v>
      </c>
      <c r="K242" s="8" t="s">
        <v>925</v>
      </c>
      <c r="L242" s="17">
        <v>1590</v>
      </c>
      <c r="M242" s="8" t="s">
        <v>496</v>
      </c>
      <c r="N242" s="8" t="s">
        <v>497</v>
      </c>
      <c r="O242" s="17">
        <v>715</v>
      </c>
      <c r="P242" s="17">
        <v>10</v>
      </c>
      <c r="Q242" s="18">
        <v>0.8</v>
      </c>
      <c r="R242" s="19"/>
      <c r="S242" s="8" t="s">
        <v>66</v>
      </c>
      <c r="T242" s="8"/>
      <c r="U242" s="10"/>
      <c r="V242" s="8"/>
      <c r="W242" s="10"/>
      <c r="X242" s="9"/>
      <c r="Y242" s="20"/>
      <c r="Z242" s="9"/>
    </row>
    <row r="243" spans="1:26" x14ac:dyDescent="0.25">
      <c r="A243" s="21" t="str">
        <f>IF(AND(COUNTBLANK('Bid Sheet'!$R$243:$R$243)=1,COUNTBLANK('Bid Sheet'!$U$243:$U$243)=1,COUNTBLANK('Bid Sheet'!$W$243:$Z$243)=4),"",IF(OR(COUNTBLANK('Bid Sheet'!$R$243:$R$243)&gt;0,COUNTBLANK('Bid Sheet'!$X$243:$X$243)&gt;0, SUM(COUNTBLANK('Bid Sheet'!$D$3:$E$3), COUNTBLANK('Bid Sheet'!$D$4:$E$4), COUNTBLANK('Bid Sheet'!$D$5:$E$5), COUNTBLANK('Bid Sheet'!$D$6:$E$6), COUNTBLANK('Bid Sheet'!$D$7:$E$7))&gt;0), "No", "Yes"))</f>
        <v/>
      </c>
      <c r="B243" s="21"/>
      <c r="C243" s="21" t="s">
        <v>357</v>
      </c>
      <c r="D243" s="21" t="s">
        <v>488</v>
      </c>
      <c r="E243" s="21" t="s">
        <v>489</v>
      </c>
      <c r="F243" s="21" t="s">
        <v>490</v>
      </c>
      <c r="G243" s="21" t="s">
        <v>491</v>
      </c>
      <c r="H243" s="21" t="s">
        <v>492</v>
      </c>
      <c r="I243" s="21" t="s">
        <v>930</v>
      </c>
      <c r="J243" s="21" t="s">
        <v>931</v>
      </c>
      <c r="K243" s="21" t="s">
        <v>925</v>
      </c>
      <c r="L243" s="22">
        <v>1590</v>
      </c>
      <c r="M243" s="21" t="s">
        <v>534</v>
      </c>
      <c r="N243" s="21" t="s">
        <v>497</v>
      </c>
      <c r="O243" s="22">
        <v>301</v>
      </c>
      <c r="P243" s="22">
        <v>10</v>
      </c>
      <c r="Q243" s="23">
        <v>0.8</v>
      </c>
      <c r="R243" s="24"/>
      <c r="S243" s="21" t="s">
        <v>66</v>
      </c>
      <c r="T243" s="21"/>
      <c r="U243" s="12"/>
      <c r="V243" s="21"/>
      <c r="W243" s="12"/>
      <c r="X243" s="11"/>
      <c r="Y243" s="25"/>
      <c r="Z243" s="11"/>
    </row>
    <row r="244" spans="1:26" x14ac:dyDescent="0.25">
      <c r="A244" s="8" t="str">
        <f>IF(AND(COUNTBLANK('Bid Sheet'!$R$244:$R$244)=1,COUNTBLANK('Bid Sheet'!$U$244:$U$244)=1,COUNTBLANK('Bid Sheet'!$W$244:$Z$244)=4),"",IF(OR(COUNTBLANK('Bid Sheet'!$R$244:$R$244)&gt;0,COUNTBLANK('Bid Sheet'!$X$244:$X$244)&gt;0, SUM(COUNTBLANK('Bid Sheet'!$D$3:$E$3), COUNTBLANK('Bid Sheet'!$D$4:$E$4), COUNTBLANK('Bid Sheet'!$D$5:$E$5), COUNTBLANK('Bid Sheet'!$D$6:$E$6), COUNTBLANK('Bid Sheet'!$D$7:$E$7))&gt;0), "No", "Yes"))</f>
        <v/>
      </c>
      <c r="B244" s="8"/>
      <c r="C244" s="8" t="s">
        <v>358</v>
      </c>
      <c r="D244" s="8" t="s">
        <v>488</v>
      </c>
      <c r="E244" s="8" t="s">
        <v>489</v>
      </c>
      <c r="F244" s="8" t="s">
        <v>490</v>
      </c>
      <c r="G244" s="8" t="s">
        <v>491</v>
      </c>
      <c r="H244" s="8" t="s">
        <v>492</v>
      </c>
      <c r="I244" s="8" t="s">
        <v>932</v>
      </c>
      <c r="J244" s="8" t="s">
        <v>931</v>
      </c>
      <c r="K244" s="8" t="s">
        <v>925</v>
      </c>
      <c r="L244" s="17">
        <v>1585</v>
      </c>
      <c r="M244" s="8" t="s">
        <v>496</v>
      </c>
      <c r="N244" s="8" t="s">
        <v>497</v>
      </c>
      <c r="O244" s="17">
        <v>710</v>
      </c>
      <c r="P244" s="17">
        <v>14</v>
      </c>
      <c r="Q244" s="18">
        <v>1.2</v>
      </c>
      <c r="R244" s="19"/>
      <c r="S244" s="8" t="s">
        <v>66</v>
      </c>
      <c r="T244" s="8"/>
      <c r="U244" s="10"/>
      <c r="V244" s="8"/>
      <c r="W244" s="10"/>
      <c r="X244" s="9"/>
      <c r="Y244" s="20"/>
      <c r="Z244" s="9"/>
    </row>
    <row r="245" spans="1:26" x14ac:dyDescent="0.25">
      <c r="A245" s="21" t="str">
        <f>IF(AND(COUNTBLANK('Bid Sheet'!$R$245:$R$245)=1,COUNTBLANK('Bid Sheet'!$U$245:$U$245)=1,COUNTBLANK('Bid Sheet'!$W$245:$Z$245)=4),"",IF(OR(COUNTBLANK('Bid Sheet'!$R$245:$R$245)&gt;0,COUNTBLANK('Bid Sheet'!$X$245:$X$245)&gt;0, SUM(COUNTBLANK('Bid Sheet'!$D$3:$E$3), COUNTBLANK('Bid Sheet'!$D$4:$E$4), COUNTBLANK('Bid Sheet'!$D$5:$E$5), COUNTBLANK('Bid Sheet'!$D$6:$E$6), COUNTBLANK('Bid Sheet'!$D$7:$E$7))&gt;0), "No", "Yes"))</f>
        <v/>
      </c>
      <c r="B245" s="21"/>
      <c r="C245" s="21" t="s">
        <v>359</v>
      </c>
      <c r="D245" s="21" t="s">
        <v>488</v>
      </c>
      <c r="E245" s="21" t="s">
        <v>489</v>
      </c>
      <c r="F245" s="21" t="s">
        <v>490</v>
      </c>
      <c r="G245" s="21" t="s">
        <v>491</v>
      </c>
      <c r="H245" s="21" t="s">
        <v>492</v>
      </c>
      <c r="I245" s="21" t="s">
        <v>932</v>
      </c>
      <c r="J245" s="21" t="s">
        <v>931</v>
      </c>
      <c r="K245" s="21" t="s">
        <v>925</v>
      </c>
      <c r="L245" s="22">
        <v>1585</v>
      </c>
      <c r="M245" s="21" t="s">
        <v>534</v>
      </c>
      <c r="N245" s="21" t="s">
        <v>497</v>
      </c>
      <c r="O245" s="22">
        <v>299</v>
      </c>
      <c r="P245" s="22">
        <v>14</v>
      </c>
      <c r="Q245" s="23">
        <v>1.2</v>
      </c>
      <c r="R245" s="24"/>
      <c r="S245" s="21" t="s">
        <v>66</v>
      </c>
      <c r="T245" s="21"/>
      <c r="U245" s="12"/>
      <c r="V245" s="21"/>
      <c r="W245" s="12"/>
      <c r="X245" s="11"/>
      <c r="Y245" s="25"/>
      <c r="Z245" s="11"/>
    </row>
    <row r="246" spans="1:26" x14ac:dyDescent="0.25">
      <c r="A246" s="8" t="str">
        <f>IF(AND(COUNTBLANK('Bid Sheet'!$R$246:$R$246)=1,COUNTBLANK('Bid Sheet'!$U$246:$U$246)=1,COUNTBLANK('Bid Sheet'!$W$246:$Z$246)=4),"",IF(OR(COUNTBLANK('Bid Sheet'!$R$246:$R$246)&gt;0,COUNTBLANK('Bid Sheet'!$X$246:$X$246)&gt;0, SUM(COUNTBLANK('Bid Sheet'!$D$3:$E$3), COUNTBLANK('Bid Sheet'!$D$4:$E$4), COUNTBLANK('Bid Sheet'!$D$5:$E$5), COUNTBLANK('Bid Sheet'!$D$6:$E$6), COUNTBLANK('Bid Sheet'!$D$7:$E$7))&gt;0), "No", "Yes"))</f>
        <v/>
      </c>
      <c r="B246" s="8"/>
      <c r="C246" s="8" t="s">
        <v>360</v>
      </c>
      <c r="D246" s="8" t="s">
        <v>488</v>
      </c>
      <c r="E246" s="8" t="s">
        <v>489</v>
      </c>
      <c r="F246" s="8" t="s">
        <v>490</v>
      </c>
      <c r="G246" s="8" t="s">
        <v>491</v>
      </c>
      <c r="H246" s="8" t="s">
        <v>492</v>
      </c>
      <c r="I246" s="8" t="s">
        <v>933</v>
      </c>
      <c r="J246" s="8" t="s">
        <v>934</v>
      </c>
      <c r="K246" s="8" t="s">
        <v>935</v>
      </c>
      <c r="L246" s="17">
        <v>533</v>
      </c>
      <c r="M246" s="8" t="s">
        <v>496</v>
      </c>
      <c r="N246" s="8" t="s">
        <v>497</v>
      </c>
      <c r="O246" s="17">
        <v>254</v>
      </c>
      <c r="P246" s="17">
        <v>30</v>
      </c>
      <c r="Q246" s="18">
        <v>2.5</v>
      </c>
      <c r="R246" s="19"/>
      <c r="S246" s="8" t="s">
        <v>66</v>
      </c>
      <c r="T246" s="8"/>
      <c r="U246" s="10"/>
      <c r="V246" s="8"/>
      <c r="W246" s="10"/>
      <c r="X246" s="9"/>
      <c r="Y246" s="20"/>
      <c r="Z246" s="9"/>
    </row>
    <row r="247" spans="1:26" x14ac:dyDescent="0.25">
      <c r="A247" s="21" t="str">
        <f>IF(AND(COUNTBLANK('Bid Sheet'!$R$247:$R$247)=1,COUNTBLANK('Bid Sheet'!$U$247:$U$247)=1,COUNTBLANK('Bid Sheet'!$W$247:$Z$247)=4),"",IF(OR(COUNTBLANK('Bid Sheet'!$R$247:$R$247)&gt;0,COUNTBLANK('Bid Sheet'!$X$247:$X$247)&gt;0, SUM(COUNTBLANK('Bid Sheet'!$D$3:$E$3), COUNTBLANK('Bid Sheet'!$D$4:$E$4), COUNTBLANK('Bid Sheet'!$D$5:$E$5), COUNTBLANK('Bid Sheet'!$D$6:$E$6), COUNTBLANK('Bid Sheet'!$D$7:$E$7))&gt;0), "No", "Yes"))</f>
        <v/>
      </c>
      <c r="B247" s="21"/>
      <c r="C247" s="21" t="s">
        <v>361</v>
      </c>
      <c r="D247" s="21" t="s">
        <v>488</v>
      </c>
      <c r="E247" s="21" t="s">
        <v>489</v>
      </c>
      <c r="F247" s="21" t="s">
        <v>490</v>
      </c>
      <c r="G247" s="21" t="s">
        <v>491</v>
      </c>
      <c r="H247" s="21" t="s">
        <v>492</v>
      </c>
      <c r="I247" s="21" t="s">
        <v>936</v>
      </c>
      <c r="J247" s="21" t="s">
        <v>937</v>
      </c>
      <c r="K247" s="21" t="s">
        <v>935</v>
      </c>
      <c r="L247" s="22">
        <v>600</v>
      </c>
      <c r="M247" s="21" t="s">
        <v>496</v>
      </c>
      <c r="N247" s="21" t="s">
        <v>497</v>
      </c>
      <c r="O247" s="22">
        <v>248</v>
      </c>
      <c r="P247" s="22">
        <v>30</v>
      </c>
      <c r="Q247" s="23">
        <v>2.5</v>
      </c>
      <c r="R247" s="24"/>
      <c r="S247" s="21" t="s">
        <v>66</v>
      </c>
      <c r="T247" s="21"/>
      <c r="U247" s="12"/>
      <c r="V247" s="21"/>
      <c r="W247" s="12"/>
      <c r="X247" s="11"/>
      <c r="Y247" s="25"/>
      <c r="Z247" s="11"/>
    </row>
    <row r="248" spans="1:26" x14ac:dyDescent="0.25">
      <c r="A248" s="8" t="str">
        <f>IF(AND(COUNTBLANK('Bid Sheet'!$R$248:$R$248)=1,COUNTBLANK('Bid Sheet'!$U$248:$U$248)=1,COUNTBLANK('Bid Sheet'!$W$248:$Z$248)=4),"",IF(OR(COUNTBLANK('Bid Sheet'!$R$248:$R$248)&gt;0,COUNTBLANK('Bid Sheet'!$X$248:$X$248)&gt;0, SUM(COUNTBLANK('Bid Sheet'!$D$3:$E$3), COUNTBLANK('Bid Sheet'!$D$4:$E$4), COUNTBLANK('Bid Sheet'!$D$5:$E$5), COUNTBLANK('Bid Sheet'!$D$6:$E$6), COUNTBLANK('Bid Sheet'!$D$7:$E$7))&gt;0), "No", "Yes"))</f>
        <v/>
      </c>
      <c r="B248" s="8"/>
      <c r="C248" s="8" t="s">
        <v>362</v>
      </c>
      <c r="D248" s="8" t="s">
        <v>488</v>
      </c>
      <c r="E248" s="8" t="s">
        <v>489</v>
      </c>
      <c r="F248" s="8" t="s">
        <v>490</v>
      </c>
      <c r="G248" s="8" t="s">
        <v>491</v>
      </c>
      <c r="H248" s="8" t="s">
        <v>492</v>
      </c>
      <c r="I248" s="8" t="s">
        <v>938</v>
      </c>
      <c r="J248" s="8" t="s">
        <v>939</v>
      </c>
      <c r="K248" s="8" t="s">
        <v>935</v>
      </c>
      <c r="L248" s="17">
        <v>604</v>
      </c>
      <c r="M248" s="8" t="s">
        <v>496</v>
      </c>
      <c r="N248" s="8" t="s">
        <v>497</v>
      </c>
      <c r="O248" s="17">
        <v>254</v>
      </c>
      <c r="P248" s="17">
        <v>10</v>
      </c>
      <c r="Q248" s="18">
        <v>0.8</v>
      </c>
      <c r="R248" s="19"/>
      <c r="S248" s="8" t="s">
        <v>66</v>
      </c>
      <c r="T248" s="8"/>
      <c r="U248" s="10"/>
      <c r="V248" s="8"/>
      <c r="W248" s="10"/>
      <c r="X248" s="9"/>
      <c r="Y248" s="20"/>
      <c r="Z248" s="9"/>
    </row>
    <row r="249" spans="1:26" x14ac:dyDescent="0.25">
      <c r="A249" s="21" t="str">
        <f>IF(AND(COUNTBLANK('Bid Sheet'!$R$249:$R$249)=1,COUNTBLANK('Bid Sheet'!$U$249:$U$249)=1,COUNTBLANK('Bid Sheet'!$W$249:$Z$249)=4),"",IF(OR(COUNTBLANK('Bid Sheet'!$R$249:$R$249)&gt;0,COUNTBLANK('Bid Sheet'!$X$249:$X$249)&gt;0, SUM(COUNTBLANK('Bid Sheet'!$D$3:$E$3), COUNTBLANK('Bid Sheet'!$D$4:$E$4), COUNTBLANK('Bid Sheet'!$D$5:$E$5), COUNTBLANK('Bid Sheet'!$D$6:$E$6), COUNTBLANK('Bid Sheet'!$D$7:$E$7))&gt;0), "No", "Yes"))</f>
        <v/>
      </c>
      <c r="B249" s="21"/>
      <c r="C249" s="21" t="s">
        <v>363</v>
      </c>
      <c r="D249" s="21" t="s">
        <v>488</v>
      </c>
      <c r="E249" s="21" t="s">
        <v>489</v>
      </c>
      <c r="F249" s="21" t="s">
        <v>490</v>
      </c>
      <c r="G249" s="21" t="s">
        <v>491</v>
      </c>
      <c r="H249" s="21" t="s">
        <v>492</v>
      </c>
      <c r="I249" s="21" t="s">
        <v>940</v>
      </c>
      <c r="J249" s="21" t="s">
        <v>941</v>
      </c>
      <c r="K249" s="21" t="s">
        <v>935</v>
      </c>
      <c r="L249" s="22">
        <v>533</v>
      </c>
      <c r="M249" s="21" t="s">
        <v>496</v>
      </c>
      <c r="N249" s="21" t="s">
        <v>497</v>
      </c>
      <c r="O249" s="22">
        <v>220</v>
      </c>
      <c r="P249" s="22">
        <v>10</v>
      </c>
      <c r="Q249" s="23">
        <v>0.8</v>
      </c>
      <c r="R249" s="24"/>
      <c r="S249" s="21" t="s">
        <v>66</v>
      </c>
      <c r="T249" s="21"/>
      <c r="U249" s="12"/>
      <c r="V249" s="21"/>
      <c r="W249" s="12"/>
      <c r="X249" s="11"/>
      <c r="Y249" s="25"/>
      <c r="Z249" s="11"/>
    </row>
    <row r="250" spans="1:26" x14ac:dyDescent="0.25">
      <c r="A250" s="8" t="str">
        <f>IF(AND(COUNTBLANK('Bid Sheet'!$R$250:$R$250)=1,COUNTBLANK('Bid Sheet'!$U$250:$U$250)=1,COUNTBLANK('Bid Sheet'!$W$250:$Z$250)=4),"",IF(OR(COUNTBLANK('Bid Sheet'!$R$250:$R$250)&gt;0,COUNTBLANK('Bid Sheet'!$X$250:$X$250)&gt;0, SUM(COUNTBLANK('Bid Sheet'!$D$3:$E$3), COUNTBLANK('Bid Sheet'!$D$4:$E$4), COUNTBLANK('Bid Sheet'!$D$5:$E$5), COUNTBLANK('Bid Sheet'!$D$6:$E$6), COUNTBLANK('Bid Sheet'!$D$7:$E$7))&gt;0), "No", "Yes"))</f>
        <v/>
      </c>
      <c r="B250" s="8"/>
      <c r="C250" s="8" t="s">
        <v>364</v>
      </c>
      <c r="D250" s="8" t="s">
        <v>488</v>
      </c>
      <c r="E250" s="8" t="s">
        <v>489</v>
      </c>
      <c r="F250" s="8" t="s">
        <v>490</v>
      </c>
      <c r="G250" s="8" t="s">
        <v>491</v>
      </c>
      <c r="H250" s="8" t="s">
        <v>492</v>
      </c>
      <c r="I250" s="8" t="s">
        <v>942</v>
      </c>
      <c r="J250" s="8" t="s">
        <v>943</v>
      </c>
      <c r="K250" s="8" t="s">
        <v>935</v>
      </c>
      <c r="L250" s="17">
        <v>525</v>
      </c>
      <c r="M250" s="8" t="s">
        <v>496</v>
      </c>
      <c r="N250" s="8" t="s">
        <v>497</v>
      </c>
      <c r="O250" s="17">
        <v>212</v>
      </c>
      <c r="P250" s="17">
        <v>20</v>
      </c>
      <c r="Q250" s="18">
        <v>1.7</v>
      </c>
      <c r="R250" s="19"/>
      <c r="S250" s="8" t="s">
        <v>66</v>
      </c>
      <c r="T250" s="8"/>
      <c r="U250" s="10"/>
      <c r="V250" s="8"/>
      <c r="W250" s="10"/>
      <c r="X250" s="9"/>
      <c r="Y250" s="20"/>
      <c r="Z250" s="9"/>
    </row>
    <row r="251" spans="1:26" x14ac:dyDescent="0.25">
      <c r="A251" s="21" t="str">
        <f>IF(AND(COUNTBLANK('Bid Sheet'!$R$251:$R$251)=1,COUNTBLANK('Bid Sheet'!$U$251:$U$251)=1,COUNTBLANK('Bid Sheet'!$W$251:$Z$251)=4),"",IF(OR(COUNTBLANK('Bid Sheet'!$R$251:$R$251)&gt;0,COUNTBLANK('Bid Sheet'!$X$251:$X$251)&gt;0, SUM(COUNTBLANK('Bid Sheet'!$D$3:$E$3), COUNTBLANK('Bid Sheet'!$D$4:$E$4), COUNTBLANK('Bid Sheet'!$D$5:$E$5), COUNTBLANK('Bid Sheet'!$D$6:$E$6), COUNTBLANK('Bid Sheet'!$D$7:$E$7))&gt;0), "No", "Yes"))</f>
        <v/>
      </c>
      <c r="B251" s="21"/>
      <c r="C251" s="21" t="s">
        <v>365</v>
      </c>
      <c r="D251" s="21" t="s">
        <v>488</v>
      </c>
      <c r="E251" s="21" t="s">
        <v>489</v>
      </c>
      <c r="F251" s="21" t="s">
        <v>490</v>
      </c>
      <c r="G251" s="21" t="s">
        <v>491</v>
      </c>
      <c r="H251" s="21" t="s">
        <v>492</v>
      </c>
      <c r="I251" s="21" t="s">
        <v>944</v>
      </c>
      <c r="J251" s="21" t="s">
        <v>945</v>
      </c>
      <c r="K251" s="21" t="s">
        <v>935</v>
      </c>
      <c r="L251" s="22">
        <v>663</v>
      </c>
      <c r="M251" s="21" t="s">
        <v>496</v>
      </c>
      <c r="N251" s="21" t="s">
        <v>497</v>
      </c>
      <c r="O251" s="22">
        <v>275</v>
      </c>
      <c r="P251" s="22">
        <v>12</v>
      </c>
      <c r="Q251" s="23">
        <v>1</v>
      </c>
      <c r="R251" s="24"/>
      <c r="S251" s="21" t="s">
        <v>66</v>
      </c>
      <c r="T251" s="21"/>
      <c r="U251" s="12"/>
      <c r="V251" s="21"/>
      <c r="W251" s="12"/>
      <c r="X251" s="11"/>
      <c r="Y251" s="25"/>
      <c r="Z251" s="11"/>
    </row>
    <row r="252" spans="1:26" x14ac:dyDescent="0.25">
      <c r="A252" s="8" t="str">
        <f>IF(AND(COUNTBLANK('Bid Sheet'!$R$252:$R$252)=1,COUNTBLANK('Bid Sheet'!$U$252:$U$252)=1,COUNTBLANK('Bid Sheet'!$W$252:$Z$252)=4),"",IF(OR(COUNTBLANK('Bid Sheet'!$R$252:$R$252)&gt;0,COUNTBLANK('Bid Sheet'!$X$252:$X$252)&gt;0, SUM(COUNTBLANK('Bid Sheet'!$D$3:$E$3), COUNTBLANK('Bid Sheet'!$D$4:$E$4), COUNTBLANK('Bid Sheet'!$D$5:$E$5), COUNTBLANK('Bid Sheet'!$D$6:$E$6), COUNTBLANK('Bid Sheet'!$D$7:$E$7))&gt;0), "No", "Yes"))</f>
        <v/>
      </c>
      <c r="B252" s="8"/>
      <c r="C252" s="8" t="s">
        <v>366</v>
      </c>
      <c r="D252" s="8" t="s">
        <v>488</v>
      </c>
      <c r="E252" s="8" t="s">
        <v>489</v>
      </c>
      <c r="F252" s="8" t="s">
        <v>490</v>
      </c>
      <c r="G252" s="8" t="s">
        <v>491</v>
      </c>
      <c r="H252" s="8" t="s">
        <v>492</v>
      </c>
      <c r="I252" s="8" t="s">
        <v>946</v>
      </c>
      <c r="J252" s="8" t="s">
        <v>947</v>
      </c>
      <c r="K252" s="8" t="s">
        <v>935</v>
      </c>
      <c r="L252" s="17">
        <v>538</v>
      </c>
      <c r="M252" s="8" t="s">
        <v>496</v>
      </c>
      <c r="N252" s="8" t="s">
        <v>497</v>
      </c>
      <c r="O252" s="17">
        <v>222</v>
      </c>
      <c r="P252" s="17">
        <v>88</v>
      </c>
      <c r="Q252" s="18">
        <v>7.3</v>
      </c>
      <c r="R252" s="19"/>
      <c r="S252" s="8" t="s">
        <v>66</v>
      </c>
      <c r="T252" s="8" t="s">
        <v>501</v>
      </c>
      <c r="U252" s="10"/>
      <c r="V252" s="8"/>
      <c r="W252" s="10"/>
      <c r="X252" s="9"/>
      <c r="Y252" s="20"/>
      <c r="Z252" s="9"/>
    </row>
    <row r="253" spans="1:26" x14ac:dyDescent="0.25">
      <c r="A253" s="21" t="str">
        <f>IF(AND(COUNTBLANK('Bid Sheet'!$R$253:$R$253)=1,COUNTBLANK('Bid Sheet'!$U$253:$U$253)=1,COUNTBLANK('Bid Sheet'!$W$253:$Z$253)=4),"",IF(OR(COUNTBLANK('Bid Sheet'!$R$253:$R$253)&gt;0,COUNTBLANK('Bid Sheet'!$X$253:$X$253)&gt;0, SUM(COUNTBLANK('Bid Sheet'!$D$3:$E$3), COUNTBLANK('Bid Sheet'!$D$4:$E$4), COUNTBLANK('Bid Sheet'!$D$5:$E$5), COUNTBLANK('Bid Sheet'!$D$6:$E$6), COUNTBLANK('Bid Sheet'!$D$7:$E$7))&gt;0), "No", "Yes"))</f>
        <v/>
      </c>
      <c r="B253" s="21"/>
      <c r="C253" s="21" t="s">
        <v>367</v>
      </c>
      <c r="D253" s="21" t="s">
        <v>488</v>
      </c>
      <c r="E253" s="21" t="s">
        <v>489</v>
      </c>
      <c r="F253" s="21" t="s">
        <v>490</v>
      </c>
      <c r="G253" s="21" t="s">
        <v>491</v>
      </c>
      <c r="H253" s="21" t="s">
        <v>492</v>
      </c>
      <c r="I253" s="21" t="s">
        <v>948</v>
      </c>
      <c r="J253" s="21" t="s">
        <v>949</v>
      </c>
      <c r="K253" s="21" t="s">
        <v>950</v>
      </c>
      <c r="L253" s="22">
        <v>670</v>
      </c>
      <c r="M253" s="21" t="s">
        <v>496</v>
      </c>
      <c r="N253" s="21" t="s">
        <v>497</v>
      </c>
      <c r="O253" s="22">
        <v>280</v>
      </c>
      <c r="P253" s="22">
        <v>69</v>
      </c>
      <c r="Q253" s="23">
        <v>5.8</v>
      </c>
      <c r="R253" s="24"/>
      <c r="S253" s="21" t="s">
        <v>66</v>
      </c>
      <c r="T253" s="21" t="s">
        <v>501</v>
      </c>
      <c r="U253" s="12"/>
      <c r="V253" s="21"/>
      <c r="W253" s="12"/>
      <c r="X253" s="11"/>
      <c r="Y253" s="25"/>
      <c r="Z253" s="11"/>
    </row>
    <row r="254" spans="1:26" x14ac:dyDescent="0.25">
      <c r="A254" s="8" t="str">
        <f>IF(AND(COUNTBLANK('Bid Sheet'!$R$254:$R$254)=1,COUNTBLANK('Bid Sheet'!$U$254:$U$254)=1,COUNTBLANK('Bid Sheet'!$W$254:$Z$254)=4),"",IF(OR(COUNTBLANK('Bid Sheet'!$R$254:$R$254)&gt;0,COUNTBLANK('Bid Sheet'!$X$254:$X$254)&gt;0, SUM(COUNTBLANK('Bid Sheet'!$D$3:$E$3), COUNTBLANK('Bid Sheet'!$D$4:$E$4), COUNTBLANK('Bid Sheet'!$D$5:$E$5), COUNTBLANK('Bid Sheet'!$D$6:$E$6), COUNTBLANK('Bid Sheet'!$D$7:$E$7))&gt;0), "No", "Yes"))</f>
        <v/>
      </c>
      <c r="B254" s="8"/>
      <c r="C254" s="8" t="s">
        <v>368</v>
      </c>
      <c r="D254" s="8" t="s">
        <v>488</v>
      </c>
      <c r="E254" s="8" t="s">
        <v>489</v>
      </c>
      <c r="F254" s="8" t="s">
        <v>490</v>
      </c>
      <c r="G254" s="8" t="s">
        <v>491</v>
      </c>
      <c r="H254" s="8" t="s">
        <v>492</v>
      </c>
      <c r="I254" s="8" t="s">
        <v>951</v>
      </c>
      <c r="J254" s="8" t="s">
        <v>949</v>
      </c>
      <c r="K254" s="8" t="s">
        <v>950</v>
      </c>
      <c r="L254" s="17">
        <v>670</v>
      </c>
      <c r="M254" s="8" t="s">
        <v>496</v>
      </c>
      <c r="N254" s="8" t="s">
        <v>497</v>
      </c>
      <c r="O254" s="17">
        <v>280</v>
      </c>
      <c r="P254" s="17">
        <v>30</v>
      </c>
      <c r="Q254" s="18">
        <v>2.5</v>
      </c>
      <c r="R254" s="19"/>
      <c r="S254" s="8" t="s">
        <v>66</v>
      </c>
      <c r="T254" s="8" t="s">
        <v>501</v>
      </c>
      <c r="U254" s="10"/>
      <c r="V254" s="8"/>
      <c r="W254" s="10"/>
      <c r="X254" s="9"/>
      <c r="Y254" s="20"/>
      <c r="Z254" s="9"/>
    </row>
    <row r="255" spans="1:26" x14ac:dyDescent="0.25">
      <c r="A255" s="21" t="str">
        <f>IF(AND(COUNTBLANK('Bid Sheet'!$R$255:$R$255)=1,COUNTBLANK('Bid Sheet'!$U$255:$U$255)=1,COUNTBLANK('Bid Sheet'!$W$255:$Z$255)=4),"",IF(OR(COUNTBLANK('Bid Sheet'!$R$255:$R$255)&gt;0,COUNTBLANK('Bid Sheet'!$X$255:$X$255)&gt;0, SUM(COUNTBLANK('Bid Sheet'!$D$3:$E$3), COUNTBLANK('Bid Sheet'!$D$4:$E$4), COUNTBLANK('Bid Sheet'!$D$5:$E$5), COUNTBLANK('Bid Sheet'!$D$6:$E$6), COUNTBLANK('Bid Sheet'!$D$7:$E$7))&gt;0), "No", "Yes"))</f>
        <v/>
      </c>
      <c r="B255" s="21"/>
      <c r="C255" s="21" t="s">
        <v>369</v>
      </c>
      <c r="D255" s="21" t="s">
        <v>488</v>
      </c>
      <c r="E255" s="21" t="s">
        <v>952</v>
      </c>
      <c r="F255" s="21" t="s">
        <v>953</v>
      </c>
      <c r="G255" s="21" t="s">
        <v>954</v>
      </c>
      <c r="H255" s="21" t="s">
        <v>633</v>
      </c>
      <c r="I255" s="21" t="s">
        <v>490</v>
      </c>
      <c r="J255" s="21" t="s">
        <v>491</v>
      </c>
      <c r="K255" s="21" t="s">
        <v>492</v>
      </c>
      <c r="L255" s="22">
        <v>335</v>
      </c>
      <c r="M255" s="21" t="s">
        <v>955</v>
      </c>
      <c r="N255" s="21" t="s">
        <v>956</v>
      </c>
      <c r="O255" s="22">
        <v>136</v>
      </c>
      <c r="P255" s="22">
        <v>68</v>
      </c>
      <c r="Q255" s="23">
        <v>5.7</v>
      </c>
      <c r="R255" s="24"/>
      <c r="S255" s="21" t="s">
        <v>66</v>
      </c>
      <c r="T255" s="21" t="s">
        <v>501</v>
      </c>
      <c r="U255" s="12"/>
      <c r="V255" s="21"/>
      <c r="W255" s="12"/>
      <c r="X255" s="11"/>
      <c r="Y255" s="25"/>
      <c r="Z255" s="11"/>
    </row>
    <row r="256" spans="1:26" x14ac:dyDescent="0.25">
      <c r="A256" s="8" t="str">
        <f>IF(AND(COUNTBLANK('Bid Sheet'!$R$256:$R$256)=1,COUNTBLANK('Bid Sheet'!$U$256:$U$256)=1,COUNTBLANK('Bid Sheet'!$W$256:$Z$256)=4),"",IF(OR(COUNTBLANK('Bid Sheet'!$R$256:$R$256)&gt;0,COUNTBLANK('Bid Sheet'!$X$256:$X$256)&gt;0, SUM(COUNTBLANK('Bid Sheet'!$D$3:$E$3), COUNTBLANK('Bid Sheet'!$D$4:$E$4), COUNTBLANK('Bid Sheet'!$D$5:$E$5), COUNTBLANK('Bid Sheet'!$D$6:$E$6), COUNTBLANK('Bid Sheet'!$D$7:$E$7))&gt;0), "No", "Yes"))</f>
        <v/>
      </c>
      <c r="B256" s="8"/>
      <c r="C256" s="8" t="s">
        <v>370</v>
      </c>
      <c r="D256" s="8" t="s">
        <v>488</v>
      </c>
      <c r="E256" s="8" t="s">
        <v>952</v>
      </c>
      <c r="F256" s="8" t="s">
        <v>953</v>
      </c>
      <c r="G256" s="8" t="s">
        <v>954</v>
      </c>
      <c r="H256" s="8" t="s">
        <v>633</v>
      </c>
      <c r="I256" s="8" t="s">
        <v>490</v>
      </c>
      <c r="J256" s="8" t="s">
        <v>491</v>
      </c>
      <c r="K256" s="8" t="s">
        <v>492</v>
      </c>
      <c r="L256" s="17">
        <v>335</v>
      </c>
      <c r="M256" s="8" t="s">
        <v>496</v>
      </c>
      <c r="N256" s="8" t="s">
        <v>497</v>
      </c>
      <c r="O256" s="17">
        <v>140</v>
      </c>
      <c r="P256" s="17">
        <v>70</v>
      </c>
      <c r="Q256" s="18">
        <v>5.8</v>
      </c>
      <c r="R256" s="19"/>
      <c r="S256" s="8" t="s">
        <v>66</v>
      </c>
      <c r="T256" s="8" t="s">
        <v>501</v>
      </c>
      <c r="U256" s="10"/>
      <c r="V256" s="8"/>
      <c r="W256" s="10"/>
      <c r="X256" s="9"/>
      <c r="Y256" s="20"/>
      <c r="Z256" s="9"/>
    </row>
    <row r="257" spans="1:26" x14ac:dyDescent="0.25">
      <c r="A257" s="21" t="str">
        <f>IF(AND(COUNTBLANK('Bid Sheet'!$R$257:$R$257)=1,COUNTBLANK('Bid Sheet'!$U$257:$U$257)=1,COUNTBLANK('Bid Sheet'!$W$257:$Z$257)=4),"",IF(OR(COUNTBLANK('Bid Sheet'!$R$257:$R$257)&gt;0,COUNTBLANK('Bid Sheet'!$X$257:$X$257)&gt;0, SUM(COUNTBLANK('Bid Sheet'!$D$3:$E$3), COUNTBLANK('Bid Sheet'!$D$4:$E$4), COUNTBLANK('Bid Sheet'!$D$5:$E$5), COUNTBLANK('Bid Sheet'!$D$6:$E$6), COUNTBLANK('Bid Sheet'!$D$7:$E$7))&gt;0), "No", "Yes"))</f>
        <v/>
      </c>
      <c r="B257" s="21"/>
      <c r="C257" s="21" t="s">
        <v>371</v>
      </c>
      <c r="D257" s="21" t="s">
        <v>488</v>
      </c>
      <c r="E257" s="21" t="s">
        <v>952</v>
      </c>
      <c r="F257" s="21" t="s">
        <v>957</v>
      </c>
      <c r="G257" s="21" t="s">
        <v>958</v>
      </c>
      <c r="H257" s="21" t="s">
        <v>639</v>
      </c>
      <c r="I257" s="21" t="s">
        <v>490</v>
      </c>
      <c r="J257" s="21" t="s">
        <v>491</v>
      </c>
      <c r="K257" s="21" t="s">
        <v>492</v>
      </c>
      <c r="L257" s="22">
        <v>520</v>
      </c>
      <c r="M257" s="21" t="s">
        <v>955</v>
      </c>
      <c r="N257" s="21" t="s">
        <v>956</v>
      </c>
      <c r="O257" s="22">
        <v>226</v>
      </c>
      <c r="P257" s="22">
        <v>30</v>
      </c>
      <c r="Q257" s="23">
        <v>2.5</v>
      </c>
      <c r="R257" s="24"/>
      <c r="S257" s="21" t="s">
        <v>66</v>
      </c>
      <c r="T257" s="21" t="s">
        <v>501</v>
      </c>
      <c r="U257" s="12"/>
      <c r="V257" s="21"/>
      <c r="W257" s="12"/>
      <c r="X257" s="11"/>
      <c r="Y257" s="25"/>
      <c r="Z257" s="11"/>
    </row>
    <row r="258" spans="1:26" x14ac:dyDescent="0.25">
      <c r="A258" s="8" t="str">
        <f>IF(AND(COUNTBLANK('Bid Sheet'!$R$258:$R$258)=1,COUNTBLANK('Bid Sheet'!$U$258:$U$258)=1,COUNTBLANK('Bid Sheet'!$W$258:$Z$258)=4),"",IF(OR(COUNTBLANK('Bid Sheet'!$R$258:$R$258)&gt;0,COUNTBLANK('Bid Sheet'!$X$258:$X$258)&gt;0, SUM(COUNTBLANK('Bid Sheet'!$D$3:$E$3), COUNTBLANK('Bid Sheet'!$D$4:$E$4), COUNTBLANK('Bid Sheet'!$D$5:$E$5), COUNTBLANK('Bid Sheet'!$D$6:$E$6), COUNTBLANK('Bid Sheet'!$D$7:$E$7))&gt;0), "No", "Yes"))</f>
        <v/>
      </c>
      <c r="B258" s="8"/>
      <c r="C258" s="8" t="s">
        <v>372</v>
      </c>
      <c r="D258" s="8" t="s">
        <v>488</v>
      </c>
      <c r="E258" s="8" t="s">
        <v>952</v>
      </c>
      <c r="F258" s="8" t="s">
        <v>959</v>
      </c>
      <c r="G258" s="8" t="s">
        <v>960</v>
      </c>
      <c r="H258" s="8" t="s">
        <v>770</v>
      </c>
      <c r="I258" s="8" t="s">
        <v>490</v>
      </c>
      <c r="J258" s="8" t="s">
        <v>491</v>
      </c>
      <c r="K258" s="8" t="s">
        <v>492</v>
      </c>
      <c r="L258" s="17">
        <v>1160</v>
      </c>
      <c r="M258" s="8" t="s">
        <v>496</v>
      </c>
      <c r="N258" s="8" t="s">
        <v>497</v>
      </c>
      <c r="O258" s="17">
        <v>559</v>
      </c>
      <c r="P258" s="17">
        <v>14</v>
      </c>
      <c r="Q258" s="18">
        <v>1.2</v>
      </c>
      <c r="R258" s="19"/>
      <c r="S258" s="8" t="s">
        <v>66</v>
      </c>
      <c r="T258" s="8" t="s">
        <v>501</v>
      </c>
      <c r="U258" s="10"/>
      <c r="V258" s="8"/>
      <c r="W258" s="10"/>
      <c r="X258" s="9"/>
      <c r="Y258" s="20"/>
      <c r="Z258" s="9"/>
    </row>
    <row r="259" spans="1:26" x14ac:dyDescent="0.25">
      <c r="A259" s="21" t="str">
        <f>IF(AND(COUNTBLANK('Bid Sheet'!$R$259:$R$259)=1,COUNTBLANK('Bid Sheet'!$U$259:$U$259)=1,COUNTBLANK('Bid Sheet'!$W$259:$Z$259)=4),"",IF(OR(COUNTBLANK('Bid Sheet'!$R$259:$R$259)&gt;0,COUNTBLANK('Bid Sheet'!$X$259:$X$259)&gt;0, SUM(COUNTBLANK('Bid Sheet'!$D$3:$E$3), COUNTBLANK('Bid Sheet'!$D$4:$E$4), COUNTBLANK('Bid Sheet'!$D$5:$E$5), COUNTBLANK('Bid Sheet'!$D$6:$E$6), COUNTBLANK('Bid Sheet'!$D$7:$E$7))&gt;0), "No", "Yes"))</f>
        <v/>
      </c>
      <c r="B259" s="21"/>
      <c r="C259" s="21" t="s">
        <v>373</v>
      </c>
      <c r="D259" s="21" t="s">
        <v>488</v>
      </c>
      <c r="E259" s="21" t="s">
        <v>952</v>
      </c>
      <c r="F259" s="21" t="s">
        <v>961</v>
      </c>
      <c r="G259" s="21" t="s">
        <v>962</v>
      </c>
      <c r="H259" s="21" t="s">
        <v>729</v>
      </c>
      <c r="I259" s="21" t="s">
        <v>490</v>
      </c>
      <c r="J259" s="21" t="s">
        <v>491</v>
      </c>
      <c r="K259" s="21" t="s">
        <v>492</v>
      </c>
      <c r="L259" s="22">
        <v>28</v>
      </c>
      <c r="M259" s="21" t="s">
        <v>496</v>
      </c>
      <c r="N259" s="21" t="s">
        <v>497</v>
      </c>
      <c r="O259" s="22">
        <v>15</v>
      </c>
      <c r="P259" s="22">
        <v>7</v>
      </c>
      <c r="Q259" s="23">
        <v>0.6</v>
      </c>
      <c r="R259" s="24"/>
      <c r="S259" s="21" t="s">
        <v>66</v>
      </c>
      <c r="T259" s="21" t="s">
        <v>501</v>
      </c>
      <c r="U259" s="12"/>
      <c r="V259" s="21"/>
      <c r="W259" s="12"/>
      <c r="X259" s="11"/>
      <c r="Y259" s="25"/>
      <c r="Z259" s="11"/>
    </row>
    <row r="260" spans="1:26" x14ac:dyDescent="0.25">
      <c r="A260" s="8" t="str">
        <f>IF(AND(COUNTBLANK('Bid Sheet'!$R$260:$R$260)=1,COUNTBLANK('Bid Sheet'!$U$260:$U$260)=1,COUNTBLANK('Bid Sheet'!$W$260:$Z$260)=4),"",IF(OR(COUNTBLANK('Bid Sheet'!$R$260:$R$260)&gt;0,COUNTBLANK('Bid Sheet'!$X$260:$X$260)&gt;0, SUM(COUNTBLANK('Bid Sheet'!$D$3:$E$3), COUNTBLANK('Bid Sheet'!$D$4:$E$4), COUNTBLANK('Bid Sheet'!$D$5:$E$5), COUNTBLANK('Bid Sheet'!$D$6:$E$6), COUNTBLANK('Bid Sheet'!$D$7:$E$7))&gt;0), "No", "Yes"))</f>
        <v/>
      </c>
      <c r="B260" s="8"/>
      <c r="C260" s="8" t="s">
        <v>374</v>
      </c>
      <c r="D260" s="8" t="s">
        <v>488</v>
      </c>
      <c r="E260" s="8" t="s">
        <v>952</v>
      </c>
      <c r="F260" s="8" t="s">
        <v>961</v>
      </c>
      <c r="G260" s="8" t="s">
        <v>962</v>
      </c>
      <c r="H260" s="8" t="s">
        <v>729</v>
      </c>
      <c r="I260" s="8" t="s">
        <v>490</v>
      </c>
      <c r="J260" s="8" t="s">
        <v>491</v>
      </c>
      <c r="K260" s="8" t="s">
        <v>492</v>
      </c>
      <c r="L260" s="17">
        <v>28</v>
      </c>
      <c r="M260" s="8" t="s">
        <v>955</v>
      </c>
      <c r="N260" s="8" t="s">
        <v>956</v>
      </c>
      <c r="O260" s="17">
        <v>13</v>
      </c>
      <c r="P260" s="17">
        <v>13</v>
      </c>
      <c r="Q260" s="18">
        <v>1.1000000000000001</v>
      </c>
      <c r="R260" s="19"/>
      <c r="S260" s="8" t="s">
        <v>66</v>
      </c>
      <c r="T260" s="8" t="s">
        <v>501</v>
      </c>
      <c r="U260" s="10"/>
      <c r="V260" s="8"/>
      <c r="W260" s="10"/>
      <c r="X260" s="9"/>
      <c r="Y260" s="20"/>
      <c r="Z260" s="9"/>
    </row>
    <row r="261" spans="1:26" x14ac:dyDescent="0.25">
      <c r="A261" s="21" t="str">
        <f>IF(AND(COUNTBLANK('Bid Sheet'!$R$261:$R$261)=1,COUNTBLANK('Bid Sheet'!$U$261:$U$261)=1,COUNTBLANK('Bid Sheet'!$W$261:$Z$261)=4),"",IF(OR(COUNTBLANK('Bid Sheet'!$R$261:$R$261)&gt;0,COUNTBLANK('Bid Sheet'!$X$261:$X$261)&gt;0, SUM(COUNTBLANK('Bid Sheet'!$D$3:$E$3), COUNTBLANK('Bid Sheet'!$D$4:$E$4), COUNTBLANK('Bid Sheet'!$D$5:$E$5), COUNTBLANK('Bid Sheet'!$D$6:$E$6), COUNTBLANK('Bid Sheet'!$D$7:$E$7))&gt;0), "No", "Yes"))</f>
        <v/>
      </c>
      <c r="B261" s="21"/>
      <c r="C261" s="21" t="s">
        <v>375</v>
      </c>
      <c r="D261" s="21" t="s">
        <v>488</v>
      </c>
      <c r="E261" s="21" t="s">
        <v>952</v>
      </c>
      <c r="F261" s="21" t="s">
        <v>490</v>
      </c>
      <c r="G261" s="21" t="s">
        <v>491</v>
      </c>
      <c r="H261" s="21" t="s">
        <v>492</v>
      </c>
      <c r="I261" s="21" t="s">
        <v>490</v>
      </c>
      <c r="J261" s="21" t="s">
        <v>491</v>
      </c>
      <c r="K261" s="21" t="s">
        <v>492</v>
      </c>
      <c r="L261" s="22">
        <v>1</v>
      </c>
      <c r="M261" s="21" t="s">
        <v>955</v>
      </c>
      <c r="N261" s="21" t="s">
        <v>956</v>
      </c>
      <c r="O261" s="22">
        <v>0</v>
      </c>
      <c r="P261" s="22">
        <v>16</v>
      </c>
      <c r="Q261" s="23">
        <v>1.3</v>
      </c>
      <c r="R261" s="24"/>
      <c r="S261" s="21" t="s">
        <v>66</v>
      </c>
      <c r="T261" s="21" t="s">
        <v>501</v>
      </c>
      <c r="U261" s="12"/>
      <c r="V261" s="21"/>
      <c r="W261" s="12"/>
      <c r="X261" s="11"/>
      <c r="Y261" s="25"/>
      <c r="Z261" s="11"/>
    </row>
    <row r="262" spans="1:26" x14ac:dyDescent="0.25">
      <c r="A262" s="8" t="str">
        <f>IF(AND(COUNTBLANK('Bid Sheet'!$R$262:$R$262)=1,COUNTBLANK('Bid Sheet'!$U$262:$U$262)=1,COUNTBLANK('Bid Sheet'!$W$262:$Z$262)=4),"",IF(OR(COUNTBLANK('Bid Sheet'!$R$262:$R$262)&gt;0,COUNTBLANK('Bid Sheet'!$X$262:$X$262)&gt;0, SUM(COUNTBLANK('Bid Sheet'!$D$3:$E$3), COUNTBLANK('Bid Sheet'!$D$4:$E$4), COUNTBLANK('Bid Sheet'!$D$5:$E$5), COUNTBLANK('Bid Sheet'!$D$6:$E$6), COUNTBLANK('Bid Sheet'!$D$7:$E$7))&gt;0), "No", "Yes"))</f>
        <v/>
      </c>
      <c r="B262" s="8"/>
      <c r="C262" s="8" t="s">
        <v>376</v>
      </c>
      <c r="D262" s="8" t="s">
        <v>488</v>
      </c>
      <c r="E262" s="8" t="s">
        <v>952</v>
      </c>
      <c r="F262" s="8" t="s">
        <v>963</v>
      </c>
      <c r="G262" s="8" t="s">
        <v>964</v>
      </c>
      <c r="H262" s="8" t="s">
        <v>770</v>
      </c>
      <c r="I262" s="8" t="s">
        <v>490</v>
      </c>
      <c r="J262" s="8" t="s">
        <v>491</v>
      </c>
      <c r="K262" s="8" t="s">
        <v>492</v>
      </c>
      <c r="L262" s="17">
        <v>1185</v>
      </c>
      <c r="M262" s="8" t="s">
        <v>955</v>
      </c>
      <c r="N262" s="8" t="s">
        <v>956</v>
      </c>
      <c r="O262" s="17">
        <v>570</v>
      </c>
      <c r="P262" s="17">
        <v>6</v>
      </c>
      <c r="Q262" s="18">
        <v>0.5</v>
      </c>
      <c r="R262" s="19"/>
      <c r="S262" s="8" t="s">
        <v>66</v>
      </c>
      <c r="T262" s="8" t="s">
        <v>501</v>
      </c>
      <c r="U262" s="10"/>
      <c r="V262" s="8"/>
      <c r="W262" s="10"/>
      <c r="X262" s="9"/>
      <c r="Y262" s="20"/>
      <c r="Z262" s="9"/>
    </row>
    <row r="263" spans="1:26" x14ac:dyDescent="0.25">
      <c r="A263" s="21" t="str">
        <f>IF(AND(COUNTBLANK('Bid Sheet'!$R$263:$R$263)=1,COUNTBLANK('Bid Sheet'!$U$263:$U$263)=1,COUNTBLANK('Bid Sheet'!$W$263:$Z$263)=4),"",IF(OR(COUNTBLANK('Bid Sheet'!$R$263:$R$263)&gt;0,COUNTBLANK('Bid Sheet'!$X$263:$X$263)&gt;0, SUM(COUNTBLANK('Bid Sheet'!$D$3:$E$3), COUNTBLANK('Bid Sheet'!$D$4:$E$4), COUNTBLANK('Bid Sheet'!$D$5:$E$5), COUNTBLANK('Bid Sheet'!$D$6:$E$6), COUNTBLANK('Bid Sheet'!$D$7:$E$7))&gt;0), "No", "Yes"))</f>
        <v/>
      </c>
      <c r="B263" s="21"/>
      <c r="C263" s="21" t="s">
        <v>377</v>
      </c>
      <c r="D263" s="21" t="s">
        <v>488</v>
      </c>
      <c r="E263" s="21" t="s">
        <v>952</v>
      </c>
      <c r="F263" s="21" t="s">
        <v>963</v>
      </c>
      <c r="G263" s="21" t="s">
        <v>964</v>
      </c>
      <c r="H263" s="21" t="s">
        <v>770</v>
      </c>
      <c r="I263" s="21" t="s">
        <v>490</v>
      </c>
      <c r="J263" s="21" t="s">
        <v>491</v>
      </c>
      <c r="K263" s="21" t="s">
        <v>492</v>
      </c>
      <c r="L263" s="22">
        <v>1185</v>
      </c>
      <c r="M263" s="21" t="s">
        <v>496</v>
      </c>
      <c r="N263" s="21" t="s">
        <v>497</v>
      </c>
      <c r="O263" s="22">
        <v>554</v>
      </c>
      <c r="P263" s="22">
        <v>12</v>
      </c>
      <c r="Q263" s="23">
        <v>1</v>
      </c>
      <c r="R263" s="24"/>
      <c r="S263" s="21" t="s">
        <v>66</v>
      </c>
      <c r="T263" s="21" t="s">
        <v>501</v>
      </c>
      <c r="U263" s="12"/>
      <c r="V263" s="21"/>
      <c r="W263" s="12"/>
      <c r="X263" s="11"/>
      <c r="Y263" s="25"/>
      <c r="Z263" s="11"/>
    </row>
    <row r="264" spans="1:26" x14ac:dyDescent="0.25">
      <c r="A264" s="8" t="str">
        <f>IF(AND(COUNTBLANK('Bid Sheet'!$R$264:$R$264)=1,COUNTBLANK('Bid Sheet'!$U$264:$U$264)=1,COUNTBLANK('Bid Sheet'!$W$264:$Z$264)=4),"",IF(OR(COUNTBLANK('Bid Sheet'!$R$264:$R$264)&gt;0,COUNTBLANK('Bid Sheet'!$X$264:$X$264)&gt;0, SUM(COUNTBLANK('Bid Sheet'!$D$3:$E$3), COUNTBLANK('Bid Sheet'!$D$4:$E$4), COUNTBLANK('Bid Sheet'!$D$5:$E$5), COUNTBLANK('Bid Sheet'!$D$6:$E$6), COUNTBLANK('Bid Sheet'!$D$7:$E$7))&gt;0), "No", "Yes"))</f>
        <v/>
      </c>
      <c r="B264" s="8"/>
      <c r="C264" s="8" t="s">
        <v>378</v>
      </c>
      <c r="D264" s="8" t="s">
        <v>488</v>
      </c>
      <c r="E264" s="8" t="s">
        <v>952</v>
      </c>
      <c r="F264" s="8" t="s">
        <v>965</v>
      </c>
      <c r="G264" s="8" t="s">
        <v>966</v>
      </c>
      <c r="H264" s="8" t="s">
        <v>729</v>
      </c>
      <c r="I264" s="8" t="s">
        <v>490</v>
      </c>
      <c r="J264" s="8" t="s">
        <v>491</v>
      </c>
      <c r="K264" s="8" t="s">
        <v>492</v>
      </c>
      <c r="L264" s="17">
        <v>275</v>
      </c>
      <c r="M264" s="8" t="s">
        <v>496</v>
      </c>
      <c r="N264" s="8" t="s">
        <v>497</v>
      </c>
      <c r="O264" s="17">
        <v>116</v>
      </c>
      <c r="P264" s="17">
        <v>6</v>
      </c>
      <c r="Q264" s="18">
        <v>0.5</v>
      </c>
      <c r="R264" s="19"/>
      <c r="S264" s="8" t="s">
        <v>66</v>
      </c>
      <c r="T264" s="8" t="s">
        <v>501</v>
      </c>
      <c r="U264" s="10"/>
      <c r="V264" s="8"/>
      <c r="W264" s="10"/>
      <c r="X264" s="9"/>
      <c r="Y264" s="20"/>
      <c r="Z264" s="9"/>
    </row>
    <row r="265" spans="1:26" x14ac:dyDescent="0.25">
      <c r="A265" s="21" t="str">
        <f>IF(AND(COUNTBLANK('Bid Sheet'!$R$265:$R$265)=1,COUNTBLANK('Bid Sheet'!$U$265:$U$265)=1,COUNTBLANK('Bid Sheet'!$W$265:$Z$265)=4),"",IF(OR(COUNTBLANK('Bid Sheet'!$R$265:$R$265)&gt;0,COUNTBLANK('Bid Sheet'!$X$265:$X$265)&gt;0, SUM(COUNTBLANK('Bid Sheet'!$D$3:$E$3), COUNTBLANK('Bid Sheet'!$D$4:$E$4), COUNTBLANK('Bid Sheet'!$D$5:$E$5), COUNTBLANK('Bid Sheet'!$D$6:$E$6), COUNTBLANK('Bid Sheet'!$D$7:$E$7))&gt;0), "No", "Yes"))</f>
        <v/>
      </c>
      <c r="B265" s="21"/>
      <c r="C265" s="21" t="s">
        <v>379</v>
      </c>
      <c r="D265" s="21" t="s">
        <v>488</v>
      </c>
      <c r="E265" s="21" t="s">
        <v>952</v>
      </c>
      <c r="F265" s="21" t="s">
        <v>965</v>
      </c>
      <c r="G265" s="21" t="s">
        <v>966</v>
      </c>
      <c r="H265" s="21" t="s">
        <v>729</v>
      </c>
      <c r="I265" s="21" t="s">
        <v>490</v>
      </c>
      <c r="J265" s="21" t="s">
        <v>491</v>
      </c>
      <c r="K265" s="21" t="s">
        <v>492</v>
      </c>
      <c r="L265" s="22">
        <v>275</v>
      </c>
      <c r="M265" s="21" t="s">
        <v>955</v>
      </c>
      <c r="N265" s="21" t="s">
        <v>956</v>
      </c>
      <c r="O265" s="22">
        <v>112</v>
      </c>
      <c r="P265" s="22">
        <v>6</v>
      </c>
      <c r="Q265" s="23">
        <v>0.5</v>
      </c>
      <c r="R265" s="24"/>
      <c r="S265" s="21" t="s">
        <v>66</v>
      </c>
      <c r="T265" s="21" t="s">
        <v>501</v>
      </c>
      <c r="U265" s="12"/>
      <c r="V265" s="21"/>
      <c r="W265" s="12"/>
      <c r="X265" s="11"/>
      <c r="Y265" s="25"/>
      <c r="Z265" s="11"/>
    </row>
    <row r="266" spans="1:26" x14ac:dyDescent="0.25">
      <c r="A266" s="8" t="str">
        <f>IF(AND(COUNTBLANK('Bid Sheet'!$R$266:$R$266)=1,COUNTBLANK('Bid Sheet'!$U$266:$U$266)=1,COUNTBLANK('Bid Sheet'!$W$266:$Z$266)=4),"",IF(OR(COUNTBLANK('Bid Sheet'!$R$266:$R$266)&gt;0,COUNTBLANK('Bid Sheet'!$X$266:$X$266)&gt;0, SUM(COUNTBLANK('Bid Sheet'!$D$3:$E$3), COUNTBLANK('Bid Sheet'!$D$4:$E$4), COUNTBLANK('Bid Sheet'!$D$5:$E$5), COUNTBLANK('Bid Sheet'!$D$6:$E$6), COUNTBLANK('Bid Sheet'!$D$7:$E$7))&gt;0), "No", "Yes"))</f>
        <v/>
      </c>
      <c r="B266" s="8"/>
      <c r="C266" s="8" t="s">
        <v>380</v>
      </c>
      <c r="D266" s="8" t="s">
        <v>488</v>
      </c>
      <c r="E266" s="8" t="s">
        <v>952</v>
      </c>
      <c r="F266" s="8" t="s">
        <v>967</v>
      </c>
      <c r="G266" s="8" t="s">
        <v>968</v>
      </c>
      <c r="H266" s="8" t="s">
        <v>763</v>
      </c>
      <c r="I266" s="8" t="s">
        <v>490</v>
      </c>
      <c r="J266" s="8" t="s">
        <v>491</v>
      </c>
      <c r="K266" s="8" t="s">
        <v>492</v>
      </c>
      <c r="L266" s="17">
        <v>212</v>
      </c>
      <c r="M266" s="8" t="s">
        <v>496</v>
      </c>
      <c r="N266" s="8" t="s">
        <v>497</v>
      </c>
      <c r="O266" s="17">
        <v>94</v>
      </c>
      <c r="P266" s="17">
        <v>6</v>
      </c>
      <c r="Q266" s="18">
        <v>0.5</v>
      </c>
      <c r="R266" s="19"/>
      <c r="S266" s="8" t="s">
        <v>66</v>
      </c>
      <c r="T266" s="8" t="s">
        <v>501</v>
      </c>
      <c r="U266" s="10"/>
      <c r="V266" s="8"/>
      <c r="W266" s="10"/>
      <c r="X266" s="9"/>
      <c r="Y266" s="20"/>
      <c r="Z266" s="9"/>
    </row>
    <row r="267" spans="1:26" x14ac:dyDescent="0.25">
      <c r="A267" s="21" t="str">
        <f>IF(AND(COUNTBLANK('Bid Sheet'!$R$267:$R$267)=1,COUNTBLANK('Bid Sheet'!$U$267:$U$267)=1,COUNTBLANK('Bid Sheet'!$W$267:$Z$267)=4),"",IF(OR(COUNTBLANK('Bid Sheet'!$R$267:$R$267)&gt;0,COUNTBLANK('Bid Sheet'!$X$267:$X$267)&gt;0, SUM(COUNTBLANK('Bid Sheet'!$D$3:$E$3), COUNTBLANK('Bid Sheet'!$D$4:$E$4), COUNTBLANK('Bid Sheet'!$D$5:$E$5), COUNTBLANK('Bid Sheet'!$D$6:$E$6), COUNTBLANK('Bid Sheet'!$D$7:$E$7))&gt;0), "No", "Yes"))</f>
        <v/>
      </c>
      <c r="B267" s="21"/>
      <c r="C267" s="21" t="s">
        <v>381</v>
      </c>
      <c r="D267" s="21" t="s">
        <v>488</v>
      </c>
      <c r="E267" s="21" t="s">
        <v>952</v>
      </c>
      <c r="F267" s="21" t="s">
        <v>967</v>
      </c>
      <c r="G267" s="21" t="s">
        <v>968</v>
      </c>
      <c r="H267" s="21" t="s">
        <v>763</v>
      </c>
      <c r="I267" s="21" t="s">
        <v>490</v>
      </c>
      <c r="J267" s="21" t="s">
        <v>491</v>
      </c>
      <c r="K267" s="21" t="s">
        <v>492</v>
      </c>
      <c r="L267" s="22">
        <v>212</v>
      </c>
      <c r="M267" s="21" t="s">
        <v>955</v>
      </c>
      <c r="N267" s="21" t="s">
        <v>956</v>
      </c>
      <c r="O267" s="22">
        <v>90</v>
      </c>
      <c r="P267" s="22">
        <v>9</v>
      </c>
      <c r="Q267" s="23">
        <v>0.8</v>
      </c>
      <c r="R267" s="24"/>
      <c r="S267" s="21" t="s">
        <v>66</v>
      </c>
      <c r="T267" s="21" t="s">
        <v>501</v>
      </c>
      <c r="U267" s="12"/>
      <c r="V267" s="21"/>
      <c r="W267" s="12"/>
      <c r="X267" s="11"/>
      <c r="Y267" s="25"/>
      <c r="Z267" s="11"/>
    </row>
    <row r="268" spans="1:26" x14ac:dyDescent="0.25">
      <c r="A268" s="8" t="str">
        <f>IF(AND(COUNTBLANK('Bid Sheet'!$R$268:$R$268)=1,COUNTBLANK('Bid Sheet'!$U$268:$U$268)=1,COUNTBLANK('Bid Sheet'!$W$268:$Z$268)=4),"",IF(OR(COUNTBLANK('Bid Sheet'!$R$268:$R$268)&gt;0,COUNTBLANK('Bid Sheet'!$X$268:$X$268)&gt;0, SUM(COUNTBLANK('Bid Sheet'!$D$3:$E$3), COUNTBLANK('Bid Sheet'!$D$4:$E$4), COUNTBLANK('Bid Sheet'!$D$5:$E$5), COUNTBLANK('Bid Sheet'!$D$6:$E$6), COUNTBLANK('Bid Sheet'!$D$7:$E$7))&gt;0), "No", "Yes"))</f>
        <v/>
      </c>
      <c r="B268" s="8"/>
      <c r="C268" s="8" t="s">
        <v>382</v>
      </c>
      <c r="D268" s="8" t="s">
        <v>488</v>
      </c>
      <c r="E268" s="8" t="s">
        <v>952</v>
      </c>
      <c r="F268" s="8" t="s">
        <v>969</v>
      </c>
      <c r="G268" s="8" t="s">
        <v>970</v>
      </c>
      <c r="H268" s="8" t="s">
        <v>804</v>
      </c>
      <c r="I268" s="8" t="s">
        <v>490</v>
      </c>
      <c r="J268" s="8" t="s">
        <v>491</v>
      </c>
      <c r="K268" s="8" t="s">
        <v>492</v>
      </c>
      <c r="L268" s="17">
        <v>615</v>
      </c>
      <c r="M268" s="8" t="s">
        <v>496</v>
      </c>
      <c r="N268" s="8" t="s">
        <v>497</v>
      </c>
      <c r="O268" s="17">
        <v>281</v>
      </c>
      <c r="P268" s="17">
        <v>22</v>
      </c>
      <c r="Q268" s="18">
        <v>1.8</v>
      </c>
      <c r="R268" s="19"/>
      <c r="S268" s="8" t="s">
        <v>66</v>
      </c>
      <c r="T268" s="8" t="s">
        <v>501</v>
      </c>
      <c r="U268" s="10"/>
      <c r="V268" s="8"/>
      <c r="W268" s="10"/>
      <c r="X268" s="9"/>
      <c r="Y268" s="20"/>
      <c r="Z268" s="9"/>
    </row>
    <row r="269" spans="1:26" x14ac:dyDescent="0.25">
      <c r="A269" s="21" t="str">
        <f>IF(AND(COUNTBLANK('Bid Sheet'!$R$269:$R$269)=1,COUNTBLANK('Bid Sheet'!$U$269:$U$269)=1,COUNTBLANK('Bid Sheet'!$W$269:$Z$269)=4),"",IF(OR(COUNTBLANK('Bid Sheet'!$R$269:$R$269)&gt;0,COUNTBLANK('Bid Sheet'!$X$269:$X$269)&gt;0, SUM(COUNTBLANK('Bid Sheet'!$D$3:$E$3), COUNTBLANK('Bid Sheet'!$D$4:$E$4), COUNTBLANK('Bid Sheet'!$D$5:$E$5), COUNTBLANK('Bid Sheet'!$D$6:$E$6), COUNTBLANK('Bid Sheet'!$D$7:$E$7))&gt;0), "No", "Yes"))</f>
        <v/>
      </c>
      <c r="B269" s="21"/>
      <c r="C269" s="21" t="s">
        <v>383</v>
      </c>
      <c r="D269" s="21" t="s">
        <v>488</v>
      </c>
      <c r="E269" s="21" t="s">
        <v>952</v>
      </c>
      <c r="F269" s="21" t="s">
        <v>969</v>
      </c>
      <c r="G269" s="21" t="s">
        <v>970</v>
      </c>
      <c r="H269" s="21" t="s">
        <v>804</v>
      </c>
      <c r="I269" s="21" t="s">
        <v>490</v>
      </c>
      <c r="J269" s="21" t="s">
        <v>491</v>
      </c>
      <c r="K269" s="21" t="s">
        <v>492</v>
      </c>
      <c r="L269" s="22">
        <v>615</v>
      </c>
      <c r="M269" s="21" t="s">
        <v>955</v>
      </c>
      <c r="N269" s="21" t="s">
        <v>956</v>
      </c>
      <c r="O269" s="22">
        <v>274</v>
      </c>
      <c r="P269" s="22">
        <v>12</v>
      </c>
      <c r="Q269" s="23">
        <v>1</v>
      </c>
      <c r="R269" s="24"/>
      <c r="S269" s="21" t="s">
        <v>66</v>
      </c>
      <c r="T269" s="21" t="s">
        <v>501</v>
      </c>
      <c r="U269" s="12"/>
      <c r="V269" s="21"/>
      <c r="W269" s="12"/>
      <c r="X269" s="11"/>
      <c r="Y269" s="25"/>
      <c r="Z269" s="11"/>
    </row>
    <row r="270" spans="1:26" x14ac:dyDescent="0.25">
      <c r="A270" s="8" t="str">
        <f>IF(AND(COUNTBLANK('Bid Sheet'!$R$270:$R$270)=1,COUNTBLANK('Bid Sheet'!$U$270:$U$270)=1,COUNTBLANK('Bid Sheet'!$W$270:$Z$270)=4),"",IF(OR(COUNTBLANK('Bid Sheet'!$R$270:$R$270)&gt;0,COUNTBLANK('Bid Sheet'!$X$270:$X$270)&gt;0, SUM(COUNTBLANK('Bid Sheet'!$D$3:$E$3), COUNTBLANK('Bid Sheet'!$D$4:$E$4), COUNTBLANK('Bid Sheet'!$D$5:$E$5), COUNTBLANK('Bid Sheet'!$D$6:$E$6), COUNTBLANK('Bid Sheet'!$D$7:$E$7))&gt;0), "No", "Yes"))</f>
        <v/>
      </c>
      <c r="B270" s="8"/>
      <c r="C270" s="8" t="s">
        <v>384</v>
      </c>
      <c r="D270" s="8" t="s">
        <v>488</v>
      </c>
      <c r="E270" s="8" t="s">
        <v>952</v>
      </c>
      <c r="F270" s="8" t="s">
        <v>971</v>
      </c>
      <c r="G270" s="8" t="s">
        <v>972</v>
      </c>
      <c r="H270" s="8" t="s">
        <v>770</v>
      </c>
      <c r="I270" s="8" t="s">
        <v>490</v>
      </c>
      <c r="J270" s="8" t="s">
        <v>491</v>
      </c>
      <c r="K270" s="8" t="s">
        <v>492</v>
      </c>
      <c r="L270" s="17">
        <v>1202</v>
      </c>
      <c r="M270" s="8" t="s">
        <v>496</v>
      </c>
      <c r="N270" s="8" t="s">
        <v>497</v>
      </c>
      <c r="O270" s="17">
        <v>589</v>
      </c>
      <c r="P270" s="17">
        <v>8</v>
      </c>
      <c r="Q270" s="18">
        <v>0.7</v>
      </c>
      <c r="R270" s="19"/>
      <c r="S270" s="8" t="s">
        <v>66</v>
      </c>
      <c r="T270" s="8" t="s">
        <v>501</v>
      </c>
      <c r="U270" s="10"/>
      <c r="V270" s="8"/>
      <c r="W270" s="10"/>
      <c r="X270" s="9"/>
      <c r="Y270" s="20"/>
      <c r="Z270" s="9"/>
    </row>
    <row r="271" spans="1:26" x14ac:dyDescent="0.25">
      <c r="A271" s="21" t="str">
        <f>IF(AND(COUNTBLANK('Bid Sheet'!$R$271:$R$271)=1,COUNTBLANK('Bid Sheet'!$U$271:$U$271)=1,COUNTBLANK('Bid Sheet'!$W$271:$Z$271)=4),"",IF(OR(COUNTBLANK('Bid Sheet'!$R$271:$R$271)&gt;0,COUNTBLANK('Bid Sheet'!$X$271:$X$271)&gt;0, SUM(COUNTBLANK('Bid Sheet'!$D$3:$E$3), COUNTBLANK('Bid Sheet'!$D$4:$E$4), COUNTBLANK('Bid Sheet'!$D$5:$E$5), COUNTBLANK('Bid Sheet'!$D$6:$E$6), COUNTBLANK('Bid Sheet'!$D$7:$E$7))&gt;0), "No", "Yes"))</f>
        <v/>
      </c>
      <c r="B271" s="21"/>
      <c r="C271" s="21" t="s">
        <v>385</v>
      </c>
      <c r="D271" s="21" t="s">
        <v>488</v>
      </c>
      <c r="E271" s="21" t="s">
        <v>952</v>
      </c>
      <c r="F271" s="21" t="s">
        <v>973</v>
      </c>
      <c r="G271" s="21" t="s">
        <v>974</v>
      </c>
      <c r="H271" s="21" t="s">
        <v>671</v>
      </c>
      <c r="I271" s="21" t="s">
        <v>490</v>
      </c>
      <c r="J271" s="21" t="s">
        <v>491</v>
      </c>
      <c r="K271" s="21" t="s">
        <v>492</v>
      </c>
      <c r="L271" s="22">
        <v>617</v>
      </c>
      <c r="M271" s="21" t="s">
        <v>955</v>
      </c>
      <c r="N271" s="21" t="s">
        <v>956</v>
      </c>
      <c r="O271" s="22">
        <v>270</v>
      </c>
      <c r="P271" s="22">
        <v>6</v>
      </c>
      <c r="Q271" s="23">
        <v>0.5</v>
      </c>
      <c r="R271" s="24"/>
      <c r="S271" s="21" t="s">
        <v>66</v>
      </c>
      <c r="T271" s="21" t="s">
        <v>501</v>
      </c>
      <c r="U271" s="12"/>
      <c r="V271" s="21"/>
      <c r="W271" s="12"/>
      <c r="X271" s="11"/>
      <c r="Y271" s="25"/>
      <c r="Z271" s="11"/>
    </row>
    <row r="272" spans="1:26" x14ac:dyDescent="0.25">
      <c r="A272" s="8" t="str">
        <f>IF(AND(COUNTBLANK('Bid Sheet'!$R$272:$R$272)=1,COUNTBLANK('Bid Sheet'!$U$272:$U$272)=1,COUNTBLANK('Bid Sheet'!$W$272:$Z$272)=4),"",IF(OR(COUNTBLANK('Bid Sheet'!$R$272:$R$272)&gt;0,COUNTBLANK('Bid Sheet'!$X$272:$X$272)&gt;0, SUM(COUNTBLANK('Bid Sheet'!$D$3:$E$3), COUNTBLANK('Bid Sheet'!$D$4:$E$4), COUNTBLANK('Bid Sheet'!$D$5:$E$5), COUNTBLANK('Bid Sheet'!$D$6:$E$6), COUNTBLANK('Bid Sheet'!$D$7:$E$7))&gt;0), "No", "Yes"))</f>
        <v/>
      </c>
      <c r="B272" s="8"/>
      <c r="C272" s="8" t="s">
        <v>386</v>
      </c>
      <c r="D272" s="8" t="s">
        <v>488</v>
      </c>
      <c r="E272" s="8" t="s">
        <v>952</v>
      </c>
      <c r="F272" s="8" t="s">
        <v>973</v>
      </c>
      <c r="G272" s="8" t="s">
        <v>974</v>
      </c>
      <c r="H272" s="8" t="s">
        <v>671</v>
      </c>
      <c r="I272" s="8" t="s">
        <v>490</v>
      </c>
      <c r="J272" s="8" t="s">
        <v>491</v>
      </c>
      <c r="K272" s="8" t="s">
        <v>492</v>
      </c>
      <c r="L272" s="17">
        <v>617</v>
      </c>
      <c r="M272" s="8" t="s">
        <v>496</v>
      </c>
      <c r="N272" s="8" t="s">
        <v>497</v>
      </c>
      <c r="O272" s="17">
        <v>277</v>
      </c>
      <c r="P272" s="17">
        <v>18</v>
      </c>
      <c r="Q272" s="18">
        <v>1.5</v>
      </c>
      <c r="R272" s="19"/>
      <c r="S272" s="8" t="s">
        <v>66</v>
      </c>
      <c r="T272" s="8" t="s">
        <v>501</v>
      </c>
      <c r="U272" s="10"/>
      <c r="V272" s="8"/>
      <c r="W272" s="10"/>
      <c r="X272" s="9"/>
      <c r="Y272" s="20"/>
      <c r="Z272" s="9"/>
    </row>
    <row r="273" spans="1:26" x14ac:dyDescent="0.25">
      <c r="A273" s="21" t="str">
        <f>IF(AND(COUNTBLANK('Bid Sheet'!$R$273:$R$273)=1,COUNTBLANK('Bid Sheet'!$U$273:$U$273)=1,COUNTBLANK('Bid Sheet'!$W$273:$Z$273)=4),"",IF(OR(COUNTBLANK('Bid Sheet'!$R$273:$R$273)&gt;0,COUNTBLANK('Bid Sheet'!$X$273:$X$273)&gt;0, SUM(COUNTBLANK('Bid Sheet'!$D$3:$E$3), COUNTBLANK('Bid Sheet'!$D$4:$E$4), COUNTBLANK('Bid Sheet'!$D$5:$E$5), COUNTBLANK('Bid Sheet'!$D$6:$E$6), COUNTBLANK('Bid Sheet'!$D$7:$E$7))&gt;0), "No", "Yes"))</f>
        <v/>
      </c>
      <c r="B273" s="21"/>
      <c r="C273" s="21" t="s">
        <v>387</v>
      </c>
      <c r="D273" s="21" t="s">
        <v>488</v>
      </c>
      <c r="E273" s="21" t="s">
        <v>952</v>
      </c>
      <c r="F273" s="21" t="s">
        <v>975</v>
      </c>
      <c r="G273" s="21" t="s">
        <v>976</v>
      </c>
      <c r="H273" s="21" t="s">
        <v>507</v>
      </c>
      <c r="I273" s="21" t="s">
        <v>490</v>
      </c>
      <c r="J273" s="21" t="s">
        <v>491</v>
      </c>
      <c r="K273" s="21" t="s">
        <v>492</v>
      </c>
      <c r="L273" s="22">
        <v>1090</v>
      </c>
      <c r="M273" s="21" t="s">
        <v>955</v>
      </c>
      <c r="N273" s="21" t="s">
        <v>956</v>
      </c>
      <c r="O273" s="22">
        <v>499</v>
      </c>
      <c r="P273" s="22">
        <v>16</v>
      </c>
      <c r="Q273" s="23">
        <v>1.3</v>
      </c>
      <c r="R273" s="24"/>
      <c r="S273" s="21" t="s">
        <v>66</v>
      </c>
      <c r="T273" s="21" t="s">
        <v>501</v>
      </c>
      <c r="U273" s="12"/>
      <c r="V273" s="21"/>
      <c r="W273" s="12"/>
      <c r="X273" s="11"/>
      <c r="Y273" s="25"/>
      <c r="Z273" s="11"/>
    </row>
    <row r="274" spans="1:26" x14ac:dyDescent="0.25">
      <c r="A274" s="8" t="str">
        <f>IF(AND(COUNTBLANK('Bid Sheet'!$R$274:$R$274)=1,COUNTBLANK('Bid Sheet'!$U$274:$U$274)=1,COUNTBLANK('Bid Sheet'!$W$274:$Z$274)=4),"",IF(OR(COUNTBLANK('Bid Sheet'!$R$274:$R$274)&gt;0,COUNTBLANK('Bid Sheet'!$X$274:$X$274)&gt;0, SUM(COUNTBLANK('Bid Sheet'!$D$3:$E$3), COUNTBLANK('Bid Sheet'!$D$4:$E$4), COUNTBLANK('Bid Sheet'!$D$5:$E$5), COUNTBLANK('Bid Sheet'!$D$6:$E$6), COUNTBLANK('Bid Sheet'!$D$7:$E$7))&gt;0), "No", "Yes"))</f>
        <v/>
      </c>
      <c r="B274" s="8"/>
      <c r="C274" s="8" t="s">
        <v>388</v>
      </c>
      <c r="D274" s="8" t="s">
        <v>488</v>
      </c>
      <c r="E274" s="8" t="s">
        <v>952</v>
      </c>
      <c r="F274" s="8" t="s">
        <v>975</v>
      </c>
      <c r="G274" s="8" t="s">
        <v>976</v>
      </c>
      <c r="H274" s="8" t="s">
        <v>507</v>
      </c>
      <c r="I274" s="8" t="s">
        <v>490</v>
      </c>
      <c r="J274" s="8" t="s">
        <v>491</v>
      </c>
      <c r="K274" s="8" t="s">
        <v>492</v>
      </c>
      <c r="L274" s="17">
        <v>1090</v>
      </c>
      <c r="M274" s="8" t="s">
        <v>496</v>
      </c>
      <c r="N274" s="8" t="s">
        <v>497</v>
      </c>
      <c r="O274" s="17">
        <v>514</v>
      </c>
      <c r="P274" s="17">
        <v>12</v>
      </c>
      <c r="Q274" s="18">
        <v>1</v>
      </c>
      <c r="R274" s="19"/>
      <c r="S274" s="8" t="s">
        <v>66</v>
      </c>
      <c r="T274" s="8" t="s">
        <v>501</v>
      </c>
      <c r="U274" s="10"/>
      <c r="V274" s="8"/>
      <c r="W274" s="10"/>
      <c r="X274" s="9"/>
      <c r="Y274" s="20"/>
      <c r="Z274" s="9"/>
    </row>
    <row r="275" spans="1:26" x14ac:dyDescent="0.25">
      <c r="A275" s="21" t="str">
        <f>IF(AND(COUNTBLANK('Bid Sheet'!$R$275:$R$275)=1,COUNTBLANK('Bid Sheet'!$U$275:$U$275)=1,COUNTBLANK('Bid Sheet'!$W$275:$Z$275)=4),"",IF(OR(COUNTBLANK('Bid Sheet'!$R$275:$R$275)&gt;0,COUNTBLANK('Bid Sheet'!$X$275:$X$275)&gt;0, SUM(COUNTBLANK('Bid Sheet'!$D$3:$E$3), COUNTBLANK('Bid Sheet'!$D$4:$E$4), COUNTBLANK('Bid Sheet'!$D$5:$E$5), COUNTBLANK('Bid Sheet'!$D$6:$E$6), COUNTBLANK('Bid Sheet'!$D$7:$E$7))&gt;0), "No", "Yes"))</f>
        <v/>
      </c>
      <c r="B275" s="21"/>
      <c r="C275" s="21" t="s">
        <v>389</v>
      </c>
      <c r="D275" s="21" t="s">
        <v>488</v>
      </c>
      <c r="E275" s="21" t="s">
        <v>952</v>
      </c>
      <c r="F275" s="21" t="s">
        <v>977</v>
      </c>
      <c r="G275" s="21" t="s">
        <v>978</v>
      </c>
      <c r="H275" s="21" t="s">
        <v>633</v>
      </c>
      <c r="I275" s="21" t="s">
        <v>490</v>
      </c>
      <c r="J275" s="21" t="s">
        <v>491</v>
      </c>
      <c r="K275" s="21" t="s">
        <v>492</v>
      </c>
      <c r="L275" s="22">
        <v>326</v>
      </c>
      <c r="M275" s="21" t="s">
        <v>955</v>
      </c>
      <c r="N275" s="21" t="s">
        <v>956</v>
      </c>
      <c r="O275" s="22">
        <v>136</v>
      </c>
      <c r="P275" s="22">
        <v>21</v>
      </c>
      <c r="Q275" s="23">
        <v>1.8</v>
      </c>
      <c r="R275" s="24"/>
      <c r="S275" s="21" t="s">
        <v>66</v>
      </c>
      <c r="T275" s="21" t="s">
        <v>501</v>
      </c>
      <c r="U275" s="12"/>
      <c r="V275" s="21"/>
      <c r="W275" s="12"/>
      <c r="X275" s="11"/>
      <c r="Y275" s="25"/>
      <c r="Z275" s="11"/>
    </row>
    <row r="276" spans="1:26" x14ac:dyDescent="0.25">
      <c r="A276" s="8" t="str">
        <f>IF(AND(COUNTBLANK('Bid Sheet'!$R$276:$R$276)=1,COUNTBLANK('Bid Sheet'!$U$276:$U$276)=1,COUNTBLANK('Bid Sheet'!$W$276:$Z$276)=4),"",IF(OR(COUNTBLANK('Bid Sheet'!$R$276:$R$276)&gt;0,COUNTBLANK('Bid Sheet'!$X$276:$X$276)&gt;0, SUM(COUNTBLANK('Bid Sheet'!$D$3:$E$3), COUNTBLANK('Bid Sheet'!$D$4:$E$4), COUNTBLANK('Bid Sheet'!$D$5:$E$5), COUNTBLANK('Bid Sheet'!$D$6:$E$6), COUNTBLANK('Bid Sheet'!$D$7:$E$7))&gt;0), "No", "Yes"))</f>
        <v/>
      </c>
      <c r="B276" s="8"/>
      <c r="C276" s="8" t="s">
        <v>390</v>
      </c>
      <c r="D276" s="8" t="s">
        <v>488</v>
      </c>
      <c r="E276" s="8" t="s">
        <v>952</v>
      </c>
      <c r="F276" s="8" t="s">
        <v>977</v>
      </c>
      <c r="G276" s="8" t="s">
        <v>978</v>
      </c>
      <c r="H276" s="8" t="s">
        <v>633</v>
      </c>
      <c r="I276" s="8" t="s">
        <v>490</v>
      </c>
      <c r="J276" s="8" t="s">
        <v>491</v>
      </c>
      <c r="K276" s="8" t="s">
        <v>492</v>
      </c>
      <c r="L276" s="17">
        <v>326</v>
      </c>
      <c r="M276" s="8" t="s">
        <v>496</v>
      </c>
      <c r="N276" s="8" t="s">
        <v>497</v>
      </c>
      <c r="O276" s="17">
        <v>140</v>
      </c>
      <c r="P276" s="17">
        <v>11</v>
      </c>
      <c r="Q276" s="18">
        <v>0.9</v>
      </c>
      <c r="R276" s="19"/>
      <c r="S276" s="8" t="s">
        <v>66</v>
      </c>
      <c r="T276" s="8" t="s">
        <v>501</v>
      </c>
      <c r="U276" s="10"/>
      <c r="V276" s="8"/>
      <c r="W276" s="10"/>
      <c r="X276" s="9"/>
      <c r="Y276" s="20"/>
      <c r="Z276" s="9"/>
    </row>
    <row r="277" spans="1:26" x14ac:dyDescent="0.25">
      <c r="A277" s="21" t="str">
        <f>IF(AND(COUNTBLANK('Bid Sheet'!$R$277:$R$277)=1,COUNTBLANK('Bid Sheet'!$U$277:$U$277)=1,COUNTBLANK('Bid Sheet'!$W$277:$Z$277)=4),"",IF(OR(COUNTBLANK('Bid Sheet'!$R$277:$R$277)&gt;0,COUNTBLANK('Bid Sheet'!$X$277:$X$277)&gt;0, SUM(COUNTBLANK('Bid Sheet'!$D$3:$E$3), COUNTBLANK('Bid Sheet'!$D$4:$E$4), COUNTBLANK('Bid Sheet'!$D$5:$E$5), COUNTBLANK('Bid Sheet'!$D$6:$E$6), COUNTBLANK('Bid Sheet'!$D$7:$E$7))&gt;0), "No", "Yes"))</f>
        <v/>
      </c>
      <c r="B277" s="21"/>
      <c r="C277" s="21" t="s">
        <v>391</v>
      </c>
      <c r="D277" s="21" t="s">
        <v>488</v>
      </c>
      <c r="E277" s="21" t="s">
        <v>952</v>
      </c>
      <c r="F277" s="21" t="s">
        <v>979</v>
      </c>
      <c r="G277" s="21" t="s">
        <v>980</v>
      </c>
      <c r="H277" s="21" t="s">
        <v>981</v>
      </c>
      <c r="I277" s="21" t="s">
        <v>490</v>
      </c>
      <c r="J277" s="21" t="s">
        <v>491</v>
      </c>
      <c r="K277" s="21" t="s">
        <v>492</v>
      </c>
      <c r="L277" s="22">
        <v>1356</v>
      </c>
      <c r="M277" s="21" t="s">
        <v>955</v>
      </c>
      <c r="N277" s="21" t="s">
        <v>956</v>
      </c>
      <c r="O277" s="22">
        <v>645</v>
      </c>
      <c r="P277" s="22">
        <v>18</v>
      </c>
      <c r="Q277" s="23">
        <v>1.5</v>
      </c>
      <c r="R277" s="24"/>
      <c r="S277" s="21" t="s">
        <v>66</v>
      </c>
      <c r="T277" s="21" t="s">
        <v>501</v>
      </c>
      <c r="U277" s="12"/>
      <c r="V277" s="21"/>
      <c r="W277" s="12"/>
      <c r="X277" s="11"/>
      <c r="Y277" s="25"/>
      <c r="Z277" s="11"/>
    </row>
    <row r="278" spans="1:26" x14ac:dyDescent="0.25">
      <c r="A278" s="8" t="str">
        <f>IF(AND(COUNTBLANK('Bid Sheet'!$R$278:$R$278)=1,COUNTBLANK('Bid Sheet'!$U$278:$U$278)=1,COUNTBLANK('Bid Sheet'!$W$278:$Z$278)=4),"",IF(OR(COUNTBLANK('Bid Sheet'!$R$278:$R$278)&gt;0,COUNTBLANK('Bid Sheet'!$X$278:$X$278)&gt;0, SUM(COUNTBLANK('Bid Sheet'!$D$3:$E$3), COUNTBLANK('Bid Sheet'!$D$4:$E$4), COUNTBLANK('Bid Sheet'!$D$5:$E$5), COUNTBLANK('Bid Sheet'!$D$6:$E$6), COUNTBLANK('Bid Sheet'!$D$7:$E$7))&gt;0), "No", "Yes"))</f>
        <v/>
      </c>
      <c r="B278" s="8"/>
      <c r="C278" s="8" t="s">
        <v>392</v>
      </c>
      <c r="D278" s="8" t="s">
        <v>488</v>
      </c>
      <c r="E278" s="8" t="s">
        <v>952</v>
      </c>
      <c r="F278" s="8" t="s">
        <v>979</v>
      </c>
      <c r="G278" s="8" t="s">
        <v>980</v>
      </c>
      <c r="H278" s="8" t="s">
        <v>981</v>
      </c>
      <c r="I278" s="8" t="s">
        <v>490</v>
      </c>
      <c r="J278" s="8" t="s">
        <v>491</v>
      </c>
      <c r="K278" s="8" t="s">
        <v>492</v>
      </c>
      <c r="L278" s="17">
        <v>1356</v>
      </c>
      <c r="M278" s="8" t="s">
        <v>496</v>
      </c>
      <c r="N278" s="8" t="s">
        <v>497</v>
      </c>
      <c r="O278" s="17">
        <v>786</v>
      </c>
      <c r="P278" s="17">
        <v>16</v>
      </c>
      <c r="Q278" s="18">
        <v>1.3</v>
      </c>
      <c r="R278" s="19"/>
      <c r="S278" s="8" t="s">
        <v>66</v>
      </c>
      <c r="T278" s="8" t="s">
        <v>501</v>
      </c>
      <c r="U278" s="10"/>
      <c r="V278" s="8"/>
      <c r="W278" s="10"/>
      <c r="X278" s="9"/>
      <c r="Y278" s="20"/>
      <c r="Z278" s="9"/>
    </row>
    <row r="279" spans="1:26" x14ac:dyDescent="0.25">
      <c r="A279" s="21" t="str">
        <f>IF(AND(COUNTBLANK('Bid Sheet'!$R$279:$R$279)=1,COUNTBLANK('Bid Sheet'!$U$279:$U$279)=1,COUNTBLANK('Bid Sheet'!$W$279:$Z$279)=4),"",IF(OR(COUNTBLANK('Bid Sheet'!$R$279:$R$279)&gt;0,COUNTBLANK('Bid Sheet'!$X$279:$X$279)&gt;0, SUM(COUNTBLANK('Bid Sheet'!$D$3:$E$3), COUNTBLANK('Bid Sheet'!$D$4:$E$4), COUNTBLANK('Bid Sheet'!$D$5:$E$5), COUNTBLANK('Bid Sheet'!$D$6:$E$6), COUNTBLANK('Bid Sheet'!$D$7:$E$7))&gt;0), "No", "Yes"))</f>
        <v/>
      </c>
      <c r="B279" s="21"/>
      <c r="C279" s="21" t="s">
        <v>393</v>
      </c>
      <c r="D279" s="21" t="s">
        <v>488</v>
      </c>
      <c r="E279" s="21" t="s">
        <v>952</v>
      </c>
      <c r="F279" s="21" t="s">
        <v>982</v>
      </c>
      <c r="G279" s="21" t="s">
        <v>765</v>
      </c>
      <c r="H279" s="21" t="s">
        <v>763</v>
      </c>
      <c r="I279" s="21" t="s">
        <v>490</v>
      </c>
      <c r="J279" s="21" t="s">
        <v>491</v>
      </c>
      <c r="K279" s="21" t="s">
        <v>492</v>
      </c>
      <c r="L279" s="22">
        <v>751</v>
      </c>
      <c r="M279" s="21" t="s">
        <v>955</v>
      </c>
      <c r="N279" s="21" t="s">
        <v>956</v>
      </c>
      <c r="O279" s="22">
        <v>91</v>
      </c>
      <c r="P279" s="22">
        <v>35</v>
      </c>
      <c r="Q279" s="23">
        <v>2.9</v>
      </c>
      <c r="R279" s="24"/>
      <c r="S279" s="21" t="s">
        <v>66</v>
      </c>
      <c r="T279" s="21" t="s">
        <v>501</v>
      </c>
      <c r="U279" s="12"/>
      <c r="V279" s="21"/>
      <c r="W279" s="12"/>
      <c r="X279" s="11"/>
      <c r="Y279" s="25"/>
      <c r="Z279" s="11"/>
    </row>
    <row r="280" spans="1:26" x14ac:dyDescent="0.25">
      <c r="A280" s="8" t="str">
        <f>IF(AND(COUNTBLANK('Bid Sheet'!$R$280:$R$280)=1,COUNTBLANK('Bid Sheet'!$U$280:$U$280)=1,COUNTBLANK('Bid Sheet'!$W$280:$Z$280)=4),"",IF(OR(COUNTBLANK('Bid Sheet'!$R$280:$R$280)&gt;0,COUNTBLANK('Bid Sheet'!$X$280:$X$280)&gt;0, SUM(COUNTBLANK('Bid Sheet'!$D$3:$E$3), COUNTBLANK('Bid Sheet'!$D$4:$E$4), COUNTBLANK('Bid Sheet'!$D$5:$E$5), COUNTBLANK('Bid Sheet'!$D$6:$E$6), COUNTBLANK('Bid Sheet'!$D$7:$E$7))&gt;0), "No", "Yes"))</f>
        <v/>
      </c>
      <c r="B280" s="8"/>
      <c r="C280" s="8" t="s">
        <v>394</v>
      </c>
      <c r="D280" s="8" t="s">
        <v>488</v>
      </c>
      <c r="E280" s="8" t="s">
        <v>952</v>
      </c>
      <c r="F280" s="8" t="s">
        <v>982</v>
      </c>
      <c r="G280" s="8" t="s">
        <v>765</v>
      </c>
      <c r="H280" s="8" t="s">
        <v>763</v>
      </c>
      <c r="I280" s="8" t="s">
        <v>490</v>
      </c>
      <c r="J280" s="8" t="s">
        <v>491</v>
      </c>
      <c r="K280" s="8" t="s">
        <v>492</v>
      </c>
      <c r="L280" s="17">
        <v>751</v>
      </c>
      <c r="M280" s="8" t="s">
        <v>496</v>
      </c>
      <c r="N280" s="8" t="s">
        <v>497</v>
      </c>
      <c r="O280" s="17">
        <v>95</v>
      </c>
      <c r="P280" s="17">
        <v>50</v>
      </c>
      <c r="Q280" s="18">
        <v>4.2</v>
      </c>
      <c r="R280" s="19"/>
      <c r="S280" s="8" t="s">
        <v>66</v>
      </c>
      <c r="T280" s="8" t="s">
        <v>501</v>
      </c>
      <c r="U280" s="10"/>
      <c r="V280" s="8"/>
      <c r="W280" s="10"/>
      <c r="X280" s="9"/>
      <c r="Y280" s="20"/>
      <c r="Z280" s="9"/>
    </row>
    <row r="281" spans="1:26" x14ac:dyDescent="0.25">
      <c r="A281" s="21" t="str">
        <f>IF(AND(COUNTBLANK('Bid Sheet'!$R$281:$R$281)=1,COUNTBLANK('Bid Sheet'!$U$281:$U$281)=1,COUNTBLANK('Bid Sheet'!$W$281:$Z$281)=4),"",IF(OR(COUNTBLANK('Bid Sheet'!$R$281:$R$281)&gt;0,COUNTBLANK('Bid Sheet'!$X$281:$X$281)&gt;0, SUM(COUNTBLANK('Bid Sheet'!$D$3:$E$3), COUNTBLANK('Bid Sheet'!$D$4:$E$4), COUNTBLANK('Bid Sheet'!$D$5:$E$5), COUNTBLANK('Bid Sheet'!$D$6:$E$6), COUNTBLANK('Bid Sheet'!$D$7:$E$7))&gt;0), "No", "Yes"))</f>
        <v/>
      </c>
      <c r="B281" s="21"/>
      <c r="C281" s="21" t="s">
        <v>395</v>
      </c>
      <c r="D281" s="21" t="s">
        <v>488</v>
      </c>
      <c r="E281" s="21" t="s">
        <v>952</v>
      </c>
      <c r="F281" s="21" t="s">
        <v>983</v>
      </c>
      <c r="G281" s="21" t="s">
        <v>984</v>
      </c>
      <c r="H281" s="21" t="s">
        <v>504</v>
      </c>
      <c r="I281" s="21" t="s">
        <v>490</v>
      </c>
      <c r="J281" s="21" t="s">
        <v>491</v>
      </c>
      <c r="K281" s="21" t="s">
        <v>492</v>
      </c>
      <c r="L281" s="22">
        <v>1081</v>
      </c>
      <c r="M281" s="21" t="s">
        <v>955</v>
      </c>
      <c r="N281" s="21" t="s">
        <v>956</v>
      </c>
      <c r="O281" s="22">
        <v>498</v>
      </c>
      <c r="P281" s="22">
        <v>194</v>
      </c>
      <c r="Q281" s="23">
        <v>16.2</v>
      </c>
      <c r="R281" s="24"/>
      <c r="S281" s="21" t="s">
        <v>66</v>
      </c>
      <c r="T281" s="21" t="s">
        <v>501</v>
      </c>
      <c r="U281" s="12"/>
      <c r="V281" s="21"/>
      <c r="W281" s="12"/>
      <c r="X281" s="11"/>
      <c r="Y281" s="25"/>
      <c r="Z281" s="11"/>
    </row>
    <row r="282" spans="1:26" x14ac:dyDescent="0.25">
      <c r="A282" s="8" t="str">
        <f>IF(AND(COUNTBLANK('Bid Sheet'!$R$282:$R$282)=1,COUNTBLANK('Bid Sheet'!$U$282:$U$282)=1,COUNTBLANK('Bid Sheet'!$W$282:$Z$282)=4),"",IF(OR(COUNTBLANK('Bid Sheet'!$R$282:$R$282)&gt;0,COUNTBLANK('Bid Sheet'!$X$282:$X$282)&gt;0, SUM(COUNTBLANK('Bid Sheet'!$D$3:$E$3), COUNTBLANK('Bid Sheet'!$D$4:$E$4), COUNTBLANK('Bid Sheet'!$D$5:$E$5), COUNTBLANK('Bid Sheet'!$D$6:$E$6), COUNTBLANK('Bid Sheet'!$D$7:$E$7))&gt;0), "No", "Yes"))</f>
        <v/>
      </c>
      <c r="B282" s="8"/>
      <c r="C282" s="8" t="s">
        <v>396</v>
      </c>
      <c r="D282" s="8" t="s">
        <v>488</v>
      </c>
      <c r="E282" s="8" t="s">
        <v>952</v>
      </c>
      <c r="F282" s="8" t="s">
        <v>983</v>
      </c>
      <c r="G282" s="8" t="s">
        <v>984</v>
      </c>
      <c r="H282" s="8" t="s">
        <v>504</v>
      </c>
      <c r="I282" s="8" t="s">
        <v>490</v>
      </c>
      <c r="J282" s="8" t="s">
        <v>491</v>
      </c>
      <c r="K282" s="8" t="s">
        <v>492</v>
      </c>
      <c r="L282" s="17">
        <v>1081</v>
      </c>
      <c r="M282" s="8" t="s">
        <v>496</v>
      </c>
      <c r="N282" s="8" t="s">
        <v>497</v>
      </c>
      <c r="O282" s="17">
        <v>513</v>
      </c>
      <c r="P282" s="17">
        <v>106</v>
      </c>
      <c r="Q282" s="18">
        <v>8.8000000000000007</v>
      </c>
      <c r="R282" s="19"/>
      <c r="S282" s="8" t="s">
        <v>66</v>
      </c>
      <c r="T282" s="8" t="s">
        <v>501</v>
      </c>
      <c r="U282" s="10"/>
      <c r="V282" s="8"/>
      <c r="W282" s="10"/>
      <c r="X282" s="9"/>
      <c r="Y282" s="20"/>
      <c r="Z282" s="9"/>
    </row>
    <row r="283" spans="1:26" x14ac:dyDescent="0.25">
      <c r="A283" s="21" t="str">
        <f>IF(AND(COUNTBLANK('Bid Sheet'!$R$283:$R$283)=1,COUNTBLANK('Bid Sheet'!$U$283:$U$283)=1,COUNTBLANK('Bid Sheet'!$W$283:$Z$283)=4),"",IF(OR(COUNTBLANK('Bid Sheet'!$R$283:$R$283)&gt;0,COUNTBLANK('Bid Sheet'!$X$283:$X$283)&gt;0, SUM(COUNTBLANK('Bid Sheet'!$D$3:$E$3), COUNTBLANK('Bid Sheet'!$D$4:$E$4), COUNTBLANK('Bid Sheet'!$D$5:$E$5), COUNTBLANK('Bid Sheet'!$D$6:$E$6), COUNTBLANK('Bid Sheet'!$D$7:$E$7))&gt;0), "No", "Yes"))</f>
        <v/>
      </c>
      <c r="B283" s="21"/>
      <c r="C283" s="21" t="s">
        <v>397</v>
      </c>
      <c r="D283" s="21" t="s">
        <v>488</v>
      </c>
      <c r="E283" s="21" t="s">
        <v>952</v>
      </c>
      <c r="F283" s="21" t="s">
        <v>983</v>
      </c>
      <c r="G283" s="21" t="s">
        <v>984</v>
      </c>
      <c r="H283" s="21" t="s">
        <v>504</v>
      </c>
      <c r="I283" s="21" t="s">
        <v>490</v>
      </c>
      <c r="J283" s="21" t="s">
        <v>491</v>
      </c>
      <c r="K283" s="21" t="s">
        <v>492</v>
      </c>
      <c r="L283" s="22">
        <v>1081</v>
      </c>
      <c r="M283" s="21" t="s">
        <v>985</v>
      </c>
      <c r="N283" s="21" t="s">
        <v>956</v>
      </c>
      <c r="O283" s="22">
        <v>206</v>
      </c>
      <c r="P283" s="22">
        <v>20</v>
      </c>
      <c r="Q283" s="23">
        <v>1.7</v>
      </c>
      <c r="R283" s="24"/>
      <c r="S283" s="21" t="s">
        <v>66</v>
      </c>
      <c r="T283" s="21" t="s">
        <v>501</v>
      </c>
      <c r="U283" s="12"/>
      <c r="V283" s="21"/>
      <c r="W283" s="12"/>
      <c r="X283" s="11"/>
      <c r="Y283" s="25"/>
      <c r="Z283" s="11"/>
    </row>
    <row r="284" spans="1:26" x14ac:dyDescent="0.25">
      <c r="A284" s="8" t="str">
        <f>IF(AND(COUNTBLANK('Bid Sheet'!$R$284:$R$284)=1,COUNTBLANK('Bid Sheet'!$U$284:$U$284)=1,COUNTBLANK('Bid Sheet'!$W$284:$Z$284)=4),"",IF(OR(COUNTBLANK('Bid Sheet'!$R$284:$R$284)&gt;0,COUNTBLANK('Bid Sheet'!$X$284:$X$284)&gt;0, SUM(COUNTBLANK('Bid Sheet'!$D$3:$E$3), COUNTBLANK('Bid Sheet'!$D$4:$E$4), COUNTBLANK('Bid Sheet'!$D$5:$E$5), COUNTBLANK('Bid Sheet'!$D$6:$E$6), COUNTBLANK('Bid Sheet'!$D$7:$E$7))&gt;0), "No", "Yes"))</f>
        <v/>
      </c>
      <c r="B284" s="8"/>
      <c r="C284" s="8" t="s">
        <v>398</v>
      </c>
      <c r="D284" s="8" t="s">
        <v>488</v>
      </c>
      <c r="E284" s="8" t="s">
        <v>952</v>
      </c>
      <c r="F284" s="8" t="s">
        <v>983</v>
      </c>
      <c r="G284" s="8" t="s">
        <v>984</v>
      </c>
      <c r="H284" s="8" t="s">
        <v>504</v>
      </c>
      <c r="I284" s="8" t="s">
        <v>490</v>
      </c>
      <c r="J284" s="8" t="s">
        <v>491</v>
      </c>
      <c r="K284" s="8" t="s">
        <v>492</v>
      </c>
      <c r="L284" s="17">
        <v>1081</v>
      </c>
      <c r="M284" s="8" t="s">
        <v>534</v>
      </c>
      <c r="N284" s="8" t="s">
        <v>497</v>
      </c>
      <c r="O284" s="17">
        <v>251</v>
      </c>
      <c r="P284" s="17">
        <v>20</v>
      </c>
      <c r="Q284" s="18">
        <v>1.7</v>
      </c>
      <c r="R284" s="19"/>
      <c r="S284" s="8" t="s">
        <v>66</v>
      </c>
      <c r="T284" s="8" t="s">
        <v>501</v>
      </c>
      <c r="U284" s="10"/>
      <c r="V284" s="8"/>
      <c r="W284" s="10"/>
      <c r="X284" s="9"/>
      <c r="Y284" s="20"/>
      <c r="Z284" s="9"/>
    </row>
    <row r="285" spans="1:26" x14ac:dyDescent="0.25">
      <c r="A285" s="21" t="str">
        <f>IF(AND(COUNTBLANK('Bid Sheet'!$R$285:$R$285)=1,COUNTBLANK('Bid Sheet'!$U$285:$U$285)=1,COUNTBLANK('Bid Sheet'!$W$285:$Z$285)=4),"",IF(OR(COUNTBLANK('Bid Sheet'!$R$285:$R$285)&gt;0,COUNTBLANK('Bid Sheet'!$X$285:$X$285)&gt;0, SUM(COUNTBLANK('Bid Sheet'!$D$3:$E$3), COUNTBLANK('Bid Sheet'!$D$4:$E$4), COUNTBLANK('Bid Sheet'!$D$5:$E$5), COUNTBLANK('Bid Sheet'!$D$6:$E$6), COUNTBLANK('Bid Sheet'!$D$7:$E$7))&gt;0), "No", "Yes"))</f>
        <v/>
      </c>
      <c r="B285" s="21"/>
      <c r="C285" s="21" t="s">
        <v>399</v>
      </c>
      <c r="D285" s="21" t="s">
        <v>488</v>
      </c>
      <c r="E285" s="21" t="s">
        <v>986</v>
      </c>
      <c r="F285" s="21" t="s">
        <v>502</v>
      </c>
      <c r="G285" s="21" t="s">
        <v>503</v>
      </c>
      <c r="H285" s="21" t="s">
        <v>504</v>
      </c>
      <c r="I285" s="21" t="s">
        <v>987</v>
      </c>
      <c r="J285" s="21" t="s">
        <v>600</v>
      </c>
      <c r="K285" s="21" t="s">
        <v>579</v>
      </c>
      <c r="L285" s="22">
        <v>1246</v>
      </c>
      <c r="M285" s="21" t="s">
        <v>496</v>
      </c>
      <c r="N285" s="21" t="s">
        <v>497</v>
      </c>
      <c r="O285" s="22">
        <v>597</v>
      </c>
      <c r="P285" s="22">
        <v>23</v>
      </c>
      <c r="Q285" s="23">
        <v>1.9</v>
      </c>
      <c r="R285" s="24"/>
      <c r="S285" s="21" t="s">
        <v>66</v>
      </c>
      <c r="T285" s="21"/>
      <c r="U285" s="12"/>
      <c r="V285" s="21"/>
      <c r="W285" s="12"/>
      <c r="X285" s="11"/>
      <c r="Y285" s="25"/>
      <c r="Z285" s="11"/>
    </row>
    <row r="286" spans="1:26" x14ac:dyDescent="0.25">
      <c r="A286" s="8" t="str">
        <f>IF(AND(COUNTBLANK('Bid Sheet'!$R$286:$R$286)=1,COUNTBLANK('Bid Sheet'!$U$286:$U$286)=1,COUNTBLANK('Bid Sheet'!$W$286:$Z$286)=4),"",IF(OR(COUNTBLANK('Bid Sheet'!$R$286:$R$286)&gt;0,COUNTBLANK('Bid Sheet'!$X$286:$X$286)&gt;0, SUM(COUNTBLANK('Bid Sheet'!$D$3:$E$3), COUNTBLANK('Bid Sheet'!$D$4:$E$4), COUNTBLANK('Bid Sheet'!$D$5:$E$5), COUNTBLANK('Bid Sheet'!$D$6:$E$6), COUNTBLANK('Bid Sheet'!$D$7:$E$7))&gt;0), "No", "Yes"))</f>
        <v/>
      </c>
      <c r="B286" s="8"/>
      <c r="C286" s="8" t="s">
        <v>400</v>
      </c>
      <c r="D286" s="8" t="s">
        <v>488</v>
      </c>
      <c r="E286" s="8" t="s">
        <v>986</v>
      </c>
      <c r="F286" s="8" t="s">
        <v>502</v>
      </c>
      <c r="G286" s="8" t="s">
        <v>503</v>
      </c>
      <c r="H286" s="8" t="s">
        <v>504</v>
      </c>
      <c r="I286" s="8" t="s">
        <v>490</v>
      </c>
      <c r="J286" s="8" t="s">
        <v>491</v>
      </c>
      <c r="K286" s="8" t="s">
        <v>492</v>
      </c>
      <c r="L286" s="17">
        <v>1135</v>
      </c>
      <c r="M286" s="8" t="s">
        <v>496</v>
      </c>
      <c r="N286" s="8" t="s">
        <v>497</v>
      </c>
      <c r="O286" s="17">
        <v>533</v>
      </c>
      <c r="P286" s="17">
        <v>152</v>
      </c>
      <c r="Q286" s="18">
        <v>12.7</v>
      </c>
      <c r="R286" s="19"/>
      <c r="S286" s="8" t="s">
        <v>66</v>
      </c>
      <c r="T286" s="8"/>
      <c r="U286" s="10"/>
      <c r="V286" s="8"/>
      <c r="W286" s="10"/>
      <c r="X286" s="9"/>
      <c r="Y286" s="20"/>
      <c r="Z286" s="9"/>
    </row>
    <row r="287" spans="1:26" x14ac:dyDescent="0.25">
      <c r="A287" s="21" t="str">
        <f>IF(AND(COUNTBLANK('Bid Sheet'!$R$287:$R$287)=1,COUNTBLANK('Bid Sheet'!$U$287:$U$287)=1,COUNTBLANK('Bid Sheet'!$W$287:$Z$287)=4),"",IF(OR(COUNTBLANK('Bid Sheet'!$R$287:$R$287)&gt;0,COUNTBLANK('Bid Sheet'!$X$287:$X$287)&gt;0, SUM(COUNTBLANK('Bid Sheet'!$D$3:$E$3), COUNTBLANK('Bid Sheet'!$D$4:$E$4), COUNTBLANK('Bid Sheet'!$D$5:$E$5), COUNTBLANK('Bid Sheet'!$D$6:$E$6), COUNTBLANK('Bid Sheet'!$D$7:$E$7))&gt;0), "No", "Yes"))</f>
        <v/>
      </c>
      <c r="B287" s="21"/>
      <c r="C287" s="21" t="s">
        <v>401</v>
      </c>
      <c r="D287" s="21" t="s">
        <v>488</v>
      </c>
      <c r="E287" s="21" t="s">
        <v>986</v>
      </c>
      <c r="F287" s="21" t="s">
        <v>502</v>
      </c>
      <c r="G287" s="21" t="s">
        <v>503</v>
      </c>
      <c r="H287" s="21" t="s">
        <v>504</v>
      </c>
      <c r="I287" s="21" t="s">
        <v>490</v>
      </c>
      <c r="J287" s="21" t="s">
        <v>491</v>
      </c>
      <c r="K287" s="21" t="s">
        <v>492</v>
      </c>
      <c r="L287" s="22">
        <v>1135</v>
      </c>
      <c r="M287" s="21" t="s">
        <v>534</v>
      </c>
      <c r="N287" s="21" t="s">
        <v>497</v>
      </c>
      <c r="O287" s="22">
        <v>284</v>
      </c>
      <c r="P287" s="22">
        <v>27</v>
      </c>
      <c r="Q287" s="23">
        <v>2.2999999999999998</v>
      </c>
      <c r="R287" s="24"/>
      <c r="S287" s="21" t="s">
        <v>66</v>
      </c>
      <c r="T287" s="21"/>
      <c r="U287" s="12"/>
      <c r="V287" s="21"/>
      <c r="W287" s="12"/>
      <c r="X287" s="11"/>
      <c r="Y287" s="25"/>
      <c r="Z287" s="11"/>
    </row>
    <row r="288" spans="1:26" x14ac:dyDescent="0.25">
      <c r="A288" s="8" t="str">
        <f>IF(AND(COUNTBLANK('Bid Sheet'!$R$288:$R$288)=1,COUNTBLANK('Bid Sheet'!$U$288:$U$288)=1,COUNTBLANK('Bid Sheet'!$W$288:$Z$288)=4),"",IF(OR(COUNTBLANK('Bid Sheet'!$R$288:$R$288)&gt;0,COUNTBLANK('Bid Sheet'!$X$288:$X$288)&gt;0, SUM(COUNTBLANK('Bid Sheet'!$D$3:$E$3), COUNTBLANK('Bid Sheet'!$D$4:$E$4), COUNTBLANK('Bid Sheet'!$D$5:$E$5), COUNTBLANK('Bid Sheet'!$D$6:$E$6), COUNTBLANK('Bid Sheet'!$D$7:$E$7))&gt;0), "No", "Yes"))</f>
        <v/>
      </c>
      <c r="B288" s="8"/>
      <c r="C288" s="8" t="s">
        <v>402</v>
      </c>
      <c r="D288" s="8" t="s">
        <v>488</v>
      </c>
      <c r="E288" s="8" t="s">
        <v>986</v>
      </c>
      <c r="F288" s="8" t="s">
        <v>988</v>
      </c>
      <c r="G288" s="8" t="s">
        <v>989</v>
      </c>
      <c r="H288" s="8" t="s">
        <v>492</v>
      </c>
      <c r="I288" s="8" t="s">
        <v>490</v>
      </c>
      <c r="J288" s="8" t="s">
        <v>491</v>
      </c>
      <c r="K288" s="8" t="s">
        <v>492</v>
      </c>
      <c r="L288" s="17">
        <v>78</v>
      </c>
      <c r="M288" s="8" t="s">
        <v>496</v>
      </c>
      <c r="N288" s="8" t="s">
        <v>497</v>
      </c>
      <c r="O288" s="17">
        <v>35</v>
      </c>
      <c r="P288" s="17">
        <v>70</v>
      </c>
      <c r="Q288" s="18">
        <v>5.8</v>
      </c>
      <c r="R288" s="19"/>
      <c r="S288" s="8" t="s">
        <v>66</v>
      </c>
      <c r="T288" s="8"/>
      <c r="U288" s="10"/>
      <c r="V288" s="8"/>
      <c r="W288" s="10"/>
      <c r="X288" s="9"/>
      <c r="Y288" s="20"/>
      <c r="Z288" s="9"/>
    </row>
    <row r="289" spans="1:26" x14ac:dyDescent="0.25">
      <c r="A289" s="21" t="str">
        <f>IF(AND(COUNTBLANK('Bid Sheet'!$R$289:$R$289)=1,COUNTBLANK('Bid Sheet'!$U$289:$U$289)=1,COUNTBLANK('Bid Sheet'!$W$289:$Z$289)=4),"",IF(OR(COUNTBLANK('Bid Sheet'!$R$289:$R$289)&gt;0,COUNTBLANK('Bid Sheet'!$X$289:$X$289)&gt;0, SUM(COUNTBLANK('Bid Sheet'!$D$3:$E$3), COUNTBLANK('Bid Sheet'!$D$4:$E$4), COUNTBLANK('Bid Sheet'!$D$5:$E$5), COUNTBLANK('Bid Sheet'!$D$6:$E$6), COUNTBLANK('Bid Sheet'!$D$7:$E$7))&gt;0), "No", "Yes"))</f>
        <v/>
      </c>
      <c r="B289" s="21"/>
      <c r="C289" s="21" t="s">
        <v>403</v>
      </c>
      <c r="D289" s="21" t="s">
        <v>488</v>
      </c>
      <c r="E289" s="21" t="s">
        <v>986</v>
      </c>
      <c r="F289" s="21" t="s">
        <v>490</v>
      </c>
      <c r="G289" s="21" t="s">
        <v>491</v>
      </c>
      <c r="H289" s="21" t="s">
        <v>492</v>
      </c>
      <c r="I289" s="21" t="s">
        <v>988</v>
      </c>
      <c r="J289" s="21" t="s">
        <v>989</v>
      </c>
      <c r="K289" s="21" t="s">
        <v>492</v>
      </c>
      <c r="L289" s="22">
        <v>77</v>
      </c>
      <c r="M289" s="21" t="s">
        <v>496</v>
      </c>
      <c r="N289" s="21" t="s">
        <v>497</v>
      </c>
      <c r="O289" s="22">
        <v>35</v>
      </c>
      <c r="P289" s="22">
        <v>285</v>
      </c>
      <c r="Q289" s="23">
        <v>23.8</v>
      </c>
      <c r="R289" s="24"/>
      <c r="S289" s="21" t="s">
        <v>66</v>
      </c>
      <c r="T289" s="21" t="s">
        <v>501</v>
      </c>
      <c r="U289" s="12"/>
      <c r="V289" s="21"/>
      <c r="W289" s="12"/>
      <c r="X289" s="11"/>
      <c r="Y289" s="25"/>
      <c r="Z289" s="11"/>
    </row>
    <row r="290" spans="1:26" x14ac:dyDescent="0.25">
      <c r="A290" s="8" t="str">
        <f>IF(AND(COUNTBLANK('Bid Sheet'!$R$290:$R$290)=1,COUNTBLANK('Bid Sheet'!$U$290:$U$290)=1,COUNTBLANK('Bid Sheet'!$W$290:$Z$290)=4),"",IF(OR(COUNTBLANK('Bid Sheet'!$R$290:$R$290)&gt;0,COUNTBLANK('Bid Sheet'!$X$290:$X$290)&gt;0, SUM(COUNTBLANK('Bid Sheet'!$D$3:$E$3), COUNTBLANK('Bid Sheet'!$D$4:$E$4), COUNTBLANK('Bid Sheet'!$D$5:$E$5), COUNTBLANK('Bid Sheet'!$D$6:$E$6), COUNTBLANK('Bid Sheet'!$D$7:$E$7))&gt;0), "No", "Yes"))</f>
        <v/>
      </c>
      <c r="B290" s="8"/>
      <c r="C290" s="8" t="s">
        <v>404</v>
      </c>
      <c r="D290" s="8" t="s">
        <v>488</v>
      </c>
      <c r="E290" s="8" t="s">
        <v>986</v>
      </c>
      <c r="F290" s="8" t="s">
        <v>990</v>
      </c>
      <c r="G290" s="8" t="s">
        <v>991</v>
      </c>
      <c r="H290" s="8" t="s">
        <v>492</v>
      </c>
      <c r="I290" s="8" t="s">
        <v>490</v>
      </c>
      <c r="J290" s="8" t="s">
        <v>491</v>
      </c>
      <c r="K290" s="8" t="s">
        <v>492</v>
      </c>
      <c r="L290" s="17">
        <v>402</v>
      </c>
      <c r="M290" s="8" t="s">
        <v>496</v>
      </c>
      <c r="N290" s="8" t="s">
        <v>497</v>
      </c>
      <c r="O290" s="17">
        <v>172</v>
      </c>
      <c r="P290" s="17">
        <v>48</v>
      </c>
      <c r="Q290" s="18">
        <v>4</v>
      </c>
      <c r="R290" s="19"/>
      <c r="S290" s="8" t="s">
        <v>66</v>
      </c>
      <c r="T290" s="8"/>
      <c r="U290" s="10"/>
      <c r="V290" s="8"/>
      <c r="W290" s="10"/>
      <c r="X290" s="9"/>
      <c r="Y290" s="20"/>
      <c r="Z290" s="9"/>
    </row>
    <row r="291" spans="1:26" x14ac:dyDescent="0.25">
      <c r="A291" s="21" t="str">
        <f>IF(AND(COUNTBLANK('Bid Sheet'!$R$291:$R$291)=1,COUNTBLANK('Bid Sheet'!$U$291:$U$291)=1,COUNTBLANK('Bid Sheet'!$W$291:$Z$291)=4),"",IF(OR(COUNTBLANK('Bid Sheet'!$R$291:$R$291)&gt;0,COUNTBLANK('Bid Sheet'!$X$291:$X$291)&gt;0, SUM(COUNTBLANK('Bid Sheet'!$D$3:$E$3), COUNTBLANK('Bid Sheet'!$D$4:$E$4), COUNTBLANK('Bid Sheet'!$D$5:$E$5), COUNTBLANK('Bid Sheet'!$D$6:$E$6), COUNTBLANK('Bid Sheet'!$D$7:$E$7))&gt;0), "No", "Yes"))</f>
        <v/>
      </c>
      <c r="B291" s="21"/>
      <c r="C291" s="21" t="s">
        <v>405</v>
      </c>
      <c r="D291" s="21" t="s">
        <v>488</v>
      </c>
      <c r="E291" s="21" t="s">
        <v>986</v>
      </c>
      <c r="F291" s="21" t="s">
        <v>490</v>
      </c>
      <c r="G291" s="21" t="s">
        <v>491</v>
      </c>
      <c r="H291" s="21" t="s">
        <v>492</v>
      </c>
      <c r="I291" s="21" t="s">
        <v>992</v>
      </c>
      <c r="J291" s="21" t="s">
        <v>993</v>
      </c>
      <c r="K291" s="21" t="s">
        <v>994</v>
      </c>
      <c r="L291" s="22">
        <v>977</v>
      </c>
      <c r="M291" s="21" t="s">
        <v>496</v>
      </c>
      <c r="N291" s="21" t="s">
        <v>497</v>
      </c>
      <c r="O291" s="22">
        <v>515</v>
      </c>
      <c r="P291" s="22">
        <v>68</v>
      </c>
      <c r="Q291" s="23">
        <v>5.7</v>
      </c>
      <c r="R291" s="24"/>
      <c r="S291" s="21" t="s">
        <v>66</v>
      </c>
      <c r="T291" s="21" t="s">
        <v>501</v>
      </c>
      <c r="U291" s="12"/>
      <c r="V291" s="21"/>
      <c r="W291" s="12"/>
      <c r="X291" s="11"/>
      <c r="Y291" s="25"/>
      <c r="Z291" s="11"/>
    </row>
    <row r="292" spans="1:26" x14ac:dyDescent="0.25">
      <c r="A292" s="8" t="str">
        <f>IF(AND(COUNTBLANK('Bid Sheet'!$R$292:$R$292)=1,COUNTBLANK('Bid Sheet'!$U$292:$U$292)=1,COUNTBLANK('Bid Sheet'!$W$292:$Z$292)=4),"",IF(OR(COUNTBLANK('Bid Sheet'!$R$292:$R$292)&gt;0,COUNTBLANK('Bid Sheet'!$X$292:$X$292)&gt;0, SUM(COUNTBLANK('Bid Sheet'!$D$3:$E$3), COUNTBLANK('Bid Sheet'!$D$4:$E$4), COUNTBLANK('Bid Sheet'!$D$5:$E$5), COUNTBLANK('Bid Sheet'!$D$6:$E$6), COUNTBLANK('Bid Sheet'!$D$7:$E$7))&gt;0), "No", "Yes"))</f>
        <v/>
      </c>
      <c r="B292" s="8"/>
      <c r="C292" s="8" t="s">
        <v>406</v>
      </c>
      <c r="D292" s="8" t="s">
        <v>488</v>
      </c>
      <c r="E292" s="8" t="s">
        <v>986</v>
      </c>
      <c r="F292" s="8" t="s">
        <v>490</v>
      </c>
      <c r="G292" s="8" t="s">
        <v>491</v>
      </c>
      <c r="H292" s="8" t="s">
        <v>492</v>
      </c>
      <c r="I292" s="8" t="s">
        <v>502</v>
      </c>
      <c r="J292" s="8" t="s">
        <v>995</v>
      </c>
      <c r="K292" s="8" t="s">
        <v>504</v>
      </c>
      <c r="L292" s="17">
        <v>1135</v>
      </c>
      <c r="M292" s="8" t="s">
        <v>496</v>
      </c>
      <c r="N292" s="8" t="s">
        <v>497</v>
      </c>
      <c r="O292" s="17">
        <v>533</v>
      </c>
      <c r="P292" s="17">
        <v>2249</v>
      </c>
      <c r="Q292" s="18">
        <v>187.4</v>
      </c>
      <c r="R292" s="19"/>
      <c r="S292" s="8" t="s">
        <v>66</v>
      </c>
      <c r="T292" s="8" t="s">
        <v>501</v>
      </c>
      <c r="U292" s="10"/>
      <c r="V292" s="8"/>
      <c r="W292" s="10"/>
      <c r="X292" s="9"/>
      <c r="Y292" s="20"/>
      <c r="Z292" s="9"/>
    </row>
    <row r="293" spans="1:26" x14ac:dyDescent="0.25">
      <c r="A293" s="21" t="str">
        <f>IF(AND(COUNTBLANK('Bid Sheet'!$R$293:$R$293)=1,COUNTBLANK('Bid Sheet'!$U$293:$U$293)=1,COUNTBLANK('Bid Sheet'!$W$293:$Z$293)=4),"",IF(OR(COUNTBLANK('Bid Sheet'!$R$293:$R$293)&gt;0,COUNTBLANK('Bid Sheet'!$X$293:$X$293)&gt;0, SUM(COUNTBLANK('Bid Sheet'!$D$3:$E$3), COUNTBLANK('Bid Sheet'!$D$4:$E$4), COUNTBLANK('Bid Sheet'!$D$5:$E$5), COUNTBLANK('Bid Sheet'!$D$6:$E$6), COUNTBLANK('Bid Sheet'!$D$7:$E$7))&gt;0), "No", "Yes"))</f>
        <v/>
      </c>
      <c r="B293" s="21"/>
      <c r="C293" s="21" t="s">
        <v>407</v>
      </c>
      <c r="D293" s="21" t="s">
        <v>488</v>
      </c>
      <c r="E293" s="21" t="s">
        <v>986</v>
      </c>
      <c r="F293" s="21" t="s">
        <v>988</v>
      </c>
      <c r="G293" s="21" t="s">
        <v>989</v>
      </c>
      <c r="H293" s="21" t="s">
        <v>492</v>
      </c>
      <c r="I293" s="21" t="s">
        <v>502</v>
      </c>
      <c r="J293" s="21" t="s">
        <v>995</v>
      </c>
      <c r="K293" s="21" t="s">
        <v>504</v>
      </c>
      <c r="L293" s="22">
        <v>1122</v>
      </c>
      <c r="M293" s="21" t="s">
        <v>496</v>
      </c>
      <c r="N293" s="21" t="s">
        <v>497</v>
      </c>
      <c r="O293" s="22">
        <v>531</v>
      </c>
      <c r="P293" s="22">
        <v>113</v>
      </c>
      <c r="Q293" s="23">
        <v>9.4</v>
      </c>
      <c r="R293" s="24"/>
      <c r="S293" s="21" t="s">
        <v>66</v>
      </c>
      <c r="T293" s="21"/>
      <c r="U293" s="12"/>
      <c r="V293" s="21"/>
      <c r="W293" s="12"/>
      <c r="X293" s="11"/>
      <c r="Y293" s="25"/>
      <c r="Z293" s="11"/>
    </row>
    <row r="294" spans="1:26" x14ac:dyDescent="0.25">
      <c r="A294" s="8" t="str">
        <f>IF(AND(COUNTBLANK('Bid Sheet'!$R$294:$R$294)=1,COUNTBLANK('Bid Sheet'!$U$294:$U$294)=1,COUNTBLANK('Bid Sheet'!$W$294:$Z$294)=4),"",IF(OR(COUNTBLANK('Bid Sheet'!$R$294:$R$294)&gt;0,COUNTBLANK('Bid Sheet'!$X$294:$X$294)&gt;0, SUM(COUNTBLANK('Bid Sheet'!$D$3:$E$3), COUNTBLANK('Bid Sheet'!$D$4:$E$4), COUNTBLANK('Bid Sheet'!$D$5:$E$5), COUNTBLANK('Bid Sheet'!$D$6:$E$6), COUNTBLANK('Bid Sheet'!$D$7:$E$7))&gt;0), "No", "Yes"))</f>
        <v/>
      </c>
      <c r="B294" s="8"/>
      <c r="C294" s="8" t="s">
        <v>408</v>
      </c>
      <c r="D294" s="8" t="s">
        <v>488</v>
      </c>
      <c r="E294" s="8" t="s">
        <v>986</v>
      </c>
      <c r="F294" s="8" t="s">
        <v>490</v>
      </c>
      <c r="G294" s="8" t="s">
        <v>491</v>
      </c>
      <c r="H294" s="8" t="s">
        <v>492</v>
      </c>
      <c r="I294" s="8" t="s">
        <v>502</v>
      </c>
      <c r="J294" s="8" t="s">
        <v>995</v>
      </c>
      <c r="K294" s="8" t="s">
        <v>504</v>
      </c>
      <c r="L294" s="17">
        <v>1126</v>
      </c>
      <c r="M294" s="8" t="s">
        <v>534</v>
      </c>
      <c r="N294" s="8" t="s">
        <v>497</v>
      </c>
      <c r="O294" s="17">
        <v>257</v>
      </c>
      <c r="P294" s="17">
        <v>1262</v>
      </c>
      <c r="Q294" s="18">
        <v>105.2</v>
      </c>
      <c r="R294" s="19"/>
      <c r="S294" s="8" t="s">
        <v>66</v>
      </c>
      <c r="T294" s="8" t="s">
        <v>501</v>
      </c>
      <c r="U294" s="10"/>
      <c r="V294" s="8"/>
      <c r="W294" s="10"/>
      <c r="X294" s="9"/>
      <c r="Y294" s="20"/>
      <c r="Z294" s="9"/>
    </row>
    <row r="295" spans="1:26" x14ac:dyDescent="0.25">
      <c r="A295" s="21" t="str">
        <f>IF(AND(COUNTBLANK('Bid Sheet'!$R$295:$R$295)=1,COUNTBLANK('Bid Sheet'!$U$295:$U$295)=1,COUNTBLANK('Bid Sheet'!$W$295:$Z$295)=4),"",IF(OR(COUNTBLANK('Bid Sheet'!$R$295:$R$295)&gt;0,COUNTBLANK('Bid Sheet'!$X$295:$X$295)&gt;0, SUM(COUNTBLANK('Bid Sheet'!$D$3:$E$3), COUNTBLANK('Bid Sheet'!$D$4:$E$4), COUNTBLANK('Bid Sheet'!$D$5:$E$5), COUNTBLANK('Bid Sheet'!$D$6:$E$6), COUNTBLANK('Bid Sheet'!$D$7:$E$7))&gt;0), "No", "Yes"))</f>
        <v/>
      </c>
      <c r="B295" s="21"/>
      <c r="C295" s="21" t="s">
        <v>409</v>
      </c>
      <c r="D295" s="21" t="s">
        <v>488</v>
      </c>
      <c r="E295" s="21" t="s">
        <v>986</v>
      </c>
      <c r="F295" s="21" t="s">
        <v>990</v>
      </c>
      <c r="G295" s="21" t="s">
        <v>991</v>
      </c>
      <c r="H295" s="21" t="s">
        <v>492</v>
      </c>
      <c r="I295" s="21" t="s">
        <v>502</v>
      </c>
      <c r="J295" s="21" t="s">
        <v>995</v>
      </c>
      <c r="K295" s="21" t="s">
        <v>504</v>
      </c>
      <c r="L295" s="22">
        <v>1524</v>
      </c>
      <c r="M295" s="21" t="s">
        <v>496</v>
      </c>
      <c r="N295" s="21" t="s">
        <v>497</v>
      </c>
      <c r="O295" s="22">
        <v>753</v>
      </c>
      <c r="P295" s="22">
        <v>12</v>
      </c>
      <c r="Q295" s="23">
        <v>1</v>
      </c>
      <c r="R295" s="24"/>
      <c r="S295" s="21" t="s">
        <v>66</v>
      </c>
      <c r="T295" s="21"/>
      <c r="U295" s="12"/>
      <c r="V295" s="21"/>
      <c r="W295" s="12"/>
      <c r="X295" s="11"/>
      <c r="Y295" s="25"/>
      <c r="Z295" s="11"/>
    </row>
    <row r="296" spans="1:26" x14ac:dyDescent="0.25">
      <c r="A296" s="8" t="str">
        <f>IF(AND(COUNTBLANK('Bid Sheet'!$R$296:$R$296)=1,COUNTBLANK('Bid Sheet'!$U$296:$U$296)=1,COUNTBLANK('Bid Sheet'!$W$296:$Z$296)=4),"",IF(OR(COUNTBLANK('Bid Sheet'!$R$296:$R$296)&gt;0,COUNTBLANK('Bid Sheet'!$X$296:$X$296)&gt;0, SUM(COUNTBLANK('Bid Sheet'!$D$3:$E$3), COUNTBLANK('Bid Sheet'!$D$4:$E$4), COUNTBLANK('Bid Sheet'!$D$5:$E$5), COUNTBLANK('Bid Sheet'!$D$6:$E$6), COUNTBLANK('Bid Sheet'!$D$7:$E$7))&gt;0), "No", "Yes"))</f>
        <v/>
      </c>
      <c r="B296" s="8"/>
      <c r="C296" s="8" t="s">
        <v>410</v>
      </c>
      <c r="D296" s="8" t="s">
        <v>488</v>
      </c>
      <c r="E296" s="8" t="s">
        <v>986</v>
      </c>
      <c r="F296" s="8" t="s">
        <v>490</v>
      </c>
      <c r="G296" s="8" t="s">
        <v>491</v>
      </c>
      <c r="H296" s="8" t="s">
        <v>492</v>
      </c>
      <c r="I296" s="8" t="s">
        <v>996</v>
      </c>
      <c r="J296" s="8" t="s">
        <v>997</v>
      </c>
      <c r="K296" s="8" t="s">
        <v>873</v>
      </c>
      <c r="L296" s="17">
        <v>934</v>
      </c>
      <c r="M296" s="8" t="s">
        <v>496</v>
      </c>
      <c r="N296" s="8" t="s">
        <v>497</v>
      </c>
      <c r="O296" s="17">
        <v>386</v>
      </c>
      <c r="P296" s="17">
        <v>16</v>
      </c>
      <c r="Q296" s="18">
        <v>1.3</v>
      </c>
      <c r="R296" s="19"/>
      <c r="S296" s="8" t="s">
        <v>66</v>
      </c>
      <c r="T296" s="8" t="s">
        <v>501</v>
      </c>
      <c r="U296" s="10"/>
      <c r="V296" s="8"/>
      <c r="W296" s="10"/>
      <c r="X296" s="9"/>
      <c r="Y296" s="20"/>
      <c r="Z296" s="9"/>
    </row>
    <row r="297" spans="1:26" x14ac:dyDescent="0.25">
      <c r="A297" s="21" t="str">
        <f>IF(AND(COUNTBLANK('Bid Sheet'!$R$297:$R$297)=1,COUNTBLANK('Bid Sheet'!$U$297:$U$297)=1,COUNTBLANK('Bid Sheet'!$W$297:$Z$297)=4),"",IF(OR(COUNTBLANK('Bid Sheet'!$R$297:$R$297)&gt;0,COUNTBLANK('Bid Sheet'!$X$297:$X$297)&gt;0, SUM(COUNTBLANK('Bid Sheet'!$D$3:$E$3), COUNTBLANK('Bid Sheet'!$D$4:$E$4), COUNTBLANK('Bid Sheet'!$D$5:$E$5), COUNTBLANK('Bid Sheet'!$D$6:$E$6), COUNTBLANK('Bid Sheet'!$D$7:$E$7))&gt;0), "No", "Yes"))</f>
        <v/>
      </c>
      <c r="B297" s="21"/>
      <c r="C297" s="21" t="s">
        <v>411</v>
      </c>
      <c r="D297" s="21" t="s">
        <v>533</v>
      </c>
      <c r="E297" s="21" t="s">
        <v>489</v>
      </c>
      <c r="F297" s="21" t="s">
        <v>992</v>
      </c>
      <c r="G297" s="21" t="s">
        <v>993</v>
      </c>
      <c r="H297" s="21" t="s">
        <v>994</v>
      </c>
      <c r="I297" s="21" t="s">
        <v>998</v>
      </c>
      <c r="J297" s="21" t="s">
        <v>999</v>
      </c>
      <c r="K297" s="21" t="s">
        <v>1000</v>
      </c>
      <c r="L297" s="22">
        <v>2488</v>
      </c>
      <c r="M297" s="21" t="s">
        <v>534</v>
      </c>
      <c r="N297" s="21" t="s">
        <v>497</v>
      </c>
      <c r="O297" s="22">
        <v>497</v>
      </c>
      <c r="P297" s="22">
        <v>121</v>
      </c>
      <c r="Q297" s="23">
        <v>10.1</v>
      </c>
      <c r="R297" s="24"/>
      <c r="S297" s="21" t="s">
        <v>96</v>
      </c>
      <c r="T297" s="21" t="s">
        <v>501</v>
      </c>
      <c r="U297" s="12"/>
      <c r="V297" s="21"/>
      <c r="W297" s="12"/>
      <c r="X297" s="11"/>
      <c r="Y297" s="25"/>
      <c r="Z297" s="11"/>
    </row>
    <row r="298" spans="1:26" x14ac:dyDescent="0.25">
      <c r="A298" s="8" t="str">
        <f>IF(AND(COUNTBLANK('Bid Sheet'!$R$298:$R$298)=1,COUNTBLANK('Bid Sheet'!$U$298:$U$298)=1,COUNTBLANK('Bid Sheet'!$W$298:$Z$298)=4),"",IF(OR(COUNTBLANK('Bid Sheet'!$R$298:$R$298)&gt;0,COUNTBLANK('Bid Sheet'!$X$298:$X$298)&gt;0, SUM(COUNTBLANK('Bid Sheet'!$D$3:$E$3), COUNTBLANK('Bid Sheet'!$D$4:$E$4), COUNTBLANK('Bid Sheet'!$D$5:$E$5), COUNTBLANK('Bid Sheet'!$D$6:$E$6), COUNTBLANK('Bid Sheet'!$D$7:$E$7))&gt;0), "No", "Yes"))</f>
        <v/>
      </c>
      <c r="B298" s="8"/>
      <c r="C298" s="8" t="s">
        <v>412</v>
      </c>
      <c r="D298" s="8" t="s">
        <v>533</v>
      </c>
      <c r="E298" s="8" t="s">
        <v>489</v>
      </c>
      <c r="F298" s="8" t="s">
        <v>992</v>
      </c>
      <c r="G298" s="8" t="s">
        <v>993</v>
      </c>
      <c r="H298" s="8" t="s">
        <v>994</v>
      </c>
      <c r="I298" s="8" t="s">
        <v>1001</v>
      </c>
      <c r="J298" s="8" t="s">
        <v>1002</v>
      </c>
      <c r="K298" s="8" t="s">
        <v>1003</v>
      </c>
      <c r="L298" s="17">
        <v>3503</v>
      </c>
      <c r="M298" s="8" t="s">
        <v>534</v>
      </c>
      <c r="N298" s="8" t="s">
        <v>497</v>
      </c>
      <c r="O298" s="17">
        <v>649</v>
      </c>
      <c r="P298" s="17">
        <v>58</v>
      </c>
      <c r="Q298" s="18">
        <v>4.8</v>
      </c>
      <c r="R298" s="19"/>
      <c r="S298" s="8" t="s">
        <v>96</v>
      </c>
      <c r="T298" s="8" t="s">
        <v>501</v>
      </c>
      <c r="U298" s="10"/>
      <c r="V298" s="8"/>
      <c r="W298" s="10"/>
      <c r="X298" s="9"/>
      <c r="Y298" s="20"/>
      <c r="Z298" s="9"/>
    </row>
    <row r="299" spans="1:26" x14ac:dyDescent="0.25">
      <c r="A299" s="21" t="str">
        <f>IF(AND(COUNTBLANK('Bid Sheet'!$R$299:$R$299)=1,COUNTBLANK('Bid Sheet'!$U$299:$U$299)=1,COUNTBLANK('Bid Sheet'!$W$299:$Z$299)=4),"",IF(OR(COUNTBLANK('Bid Sheet'!$R$299:$R$299)&gt;0,COUNTBLANK('Bid Sheet'!$X$299:$X$299)&gt;0, SUM(COUNTBLANK('Bid Sheet'!$D$3:$E$3), COUNTBLANK('Bid Sheet'!$D$4:$E$4), COUNTBLANK('Bid Sheet'!$D$5:$E$5), COUNTBLANK('Bid Sheet'!$D$6:$E$6), COUNTBLANK('Bid Sheet'!$D$7:$E$7))&gt;0), "No", "Yes"))</f>
        <v/>
      </c>
      <c r="B299" s="21"/>
      <c r="C299" s="21" t="s">
        <v>413</v>
      </c>
      <c r="D299" s="21" t="s">
        <v>533</v>
      </c>
      <c r="E299" s="21" t="s">
        <v>489</v>
      </c>
      <c r="F299" s="21" t="s">
        <v>992</v>
      </c>
      <c r="G299" s="21" t="s">
        <v>993</v>
      </c>
      <c r="H299" s="21" t="s">
        <v>994</v>
      </c>
      <c r="I299" s="21" t="s">
        <v>1004</v>
      </c>
      <c r="J299" s="21" t="s">
        <v>1005</v>
      </c>
      <c r="K299" s="21" t="s">
        <v>1006</v>
      </c>
      <c r="L299" s="22">
        <v>1898</v>
      </c>
      <c r="M299" s="21" t="s">
        <v>496</v>
      </c>
      <c r="N299" s="21" t="s">
        <v>497</v>
      </c>
      <c r="O299" s="22">
        <v>574</v>
      </c>
      <c r="P299" s="22">
        <v>56</v>
      </c>
      <c r="Q299" s="23">
        <v>4.7</v>
      </c>
      <c r="R299" s="24"/>
      <c r="S299" s="21" t="s">
        <v>96</v>
      </c>
      <c r="T299" s="21" t="s">
        <v>501</v>
      </c>
      <c r="U299" s="12"/>
      <c r="V299" s="21"/>
      <c r="W299" s="12"/>
      <c r="X299" s="11"/>
      <c r="Y299" s="25"/>
      <c r="Z299" s="11"/>
    </row>
    <row r="300" spans="1:26" x14ac:dyDescent="0.25">
      <c r="A300" s="8" t="str">
        <f>IF(AND(COUNTBLANK('Bid Sheet'!$R$300:$R$300)=1,COUNTBLANK('Bid Sheet'!$U$300:$U$300)=1,COUNTBLANK('Bid Sheet'!$W$300:$Z$300)=4),"",IF(OR(COUNTBLANK('Bid Sheet'!$R$300:$R$300)&gt;0,COUNTBLANK('Bid Sheet'!$X$300:$X$300)&gt;0, SUM(COUNTBLANK('Bid Sheet'!$D$3:$E$3), COUNTBLANK('Bid Sheet'!$D$4:$E$4), COUNTBLANK('Bid Sheet'!$D$5:$E$5), COUNTBLANK('Bid Sheet'!$D$6:$E$6), COUNTBLANK('Bid Sheet'!$D$7:$E$7))&gt;0), "No", "Yes"))</f>
        <v/>
      </c>
      <c r="B300" s="8"/>
      <c r="C300" s="8" t="s">
        <v>414</v>
      </c>
      <c r="D300" s="8" t="s">
        <v>533</v>
      </c>
      <c r="E300" s="8" t="s">
        <v>489</v>
      </c>
      <c r="F300" s="8" t="s">
        <v>992</v>
      </c>
      <c r="G300" s="8" t="s">
        <v>993</v>
      </c>
      <c r="H300" s="8" t="s">
        <v>994</v>
      </c>
      <c r="I300" s="8" t="s">
        <v>1007</v>
      </c>
      <c r="J300" s="8" t="s">
        <v>1005</v>
      </c>
      <c r="K300" s="8" t="s">
        <v>1006</v>
      </c>
      <c r="L300" s="17">
        <v>1898</v>
      </c>
      <c r="M300" s="8" t="s">
        <v>496</v>
      </c>
      <c r="N300" s="8" t="s">
        <v>497</v>
      </c>
      <c r="O300" s="17">
        <v>576</v>
      </c>
      <c r="P300" s="17">
        <v>74</v>
      </c>
      <c r="Q300" s="18">
        <v>6.2</v>
      </c>
      <c r="R300" s="19"/>
      <c r="S300" s="8" t="s">
        <v>96</v>
      </c>
      <c r="T300" s="8" t="s">
        <v>501</v>
      </c>
      <c r="U300" s="10"/>
      <c r="V300" s="8"/>
      <c r="W300" s="10"/>
      <c r="X300" s="9"/>
      <c r="Y300" s="20"/>
      <c r="Z300" s="9"/>
    </row>
    <row r="301" spans="1:26" x14ac:dyDescent="0.25">
      <c r="A301" s="21" t="str">
        <f>IF(AND(COUNTBLANK('Bid Sheet'!$R$301:$R$301)=1,COUNTBLANK('Bid Sheet'!$U$301:$U$301)=1,COUNTBLANK('Bid Sheet'!$W$301:$Z$301)=4),"",IF(OR(COUNTBLANK('Bid Sheet'!$R$301:$R$301)&gt;0,COUNTBLANK('Bid Sheet'!$X$301:$X$301)&gt;0, SUM(COUNTBLANK('Bid Sheet'!$D$3:$E$3), COUNTBLANK('Bid Sheet'!$D$4:$E$4), COUNTBLANK('Bid Sheet'!$D$5:$E$5), COUNTBLANK('Bid Sheet'!$D$6:$E$6), COUNTBLANK('Bid Sheet'!$D$7:$E$7))&gt;0), "No", "Yes"))</f>
        <v/>
      </c>
      <c r="B301" s="21"/>
      <c r="C301" s="21" t="s">
        <v>415</v>
      </c>
      <c r="D301" s="21" t="s">
        <v>533</v>
      </c>
      <c r="E301" s="21" t="s">
        <v>489</v>
      </c>
      <c r="F301" s="21" t="s">
        <v>992</v>
      </c>
      <c r="G301" s="21" t="s">
        <v>993</v>
      </c>
      <c r="H301" s="21" t="s">
        <v>994</v>
      </c>
      <c r="I301" s="21" t="s">
        <v>1008</v>
      </c>
      <c r="J301" s="21" t="s">
        <v>1009</v>
      </c>
      <c r="K301" s="21" t="s">
        <v>1010</v>
      </c>
      <c r="L301" s="22">
        <v>1535</v>
      </c>
      <c r="M301" s="21" t="s">
        <v>534</v>
      </c>
      <c r="N301" s="21" t="s">
        <v>497</v>
      </c>
      <c r="O301" s="22">
        <v>0</v>
      </c>
      <c r="P301" s="22">
        <v>6</v>
      </c>
      <c r="Q301" s="23">
        <v>0.5</v>
      </c>
      <c r="R301" s="24"/>
      <c r="S301" s="21" t="s">
        <v>96</v>
      </c>
      <c r="T301" s="21" t="s">
        <v>501</v>
      </c>
      <c r="U301" s="12"/>
      <c r="V301" s="21"/>
      <c r="W301" s="12"/>
      <c r="X301" s="11"/>
      <c r="Y301" s="25"/>
      <c r="Z301" s="11"/>
    </row>
    <row r="302" spans="1:26" x14ac:dyDescent="0.25">
      <c r="A302" s="8" t="str">
        <f>IF(AND(COUNTBLANK('Bid Sheet'!$R$302:$R$302)=1,COUNTBLANK('Bid Sheet'!$U$302:$U$302)=1,COUNTBLANK('Bid Sheet'!$W$302:$Z$302)=4),"",IF(OR(COUNTBLANK('Bid Sheet'!$R$302:$R$302)&gt;0,COUNTBLANK('Bid Sheet'!$X$302:$X$302)&gt;0, SUM(COUNTBLANK('Bid Sheet'!$D$3:$E$3), COUNTBLANK('Bid Sheet'!$D$4:$E$4), COUNTBLANK('Bid Sheet'!$D$5:$E$5), COUNTBLANK('Bid Sheet'!$D$6:$E$6), COUNTBLANK('Bid Sheet'!$D$7:$E$7))&gt;0), "No", "Yes"))</f>
        <v/>
      </c>
      <c r="B302" s="8"/>
      <c r="C302" s="8" t="s">
        <v>416</v>
      </c>
      <c r="D302" s="8" t="s">
        <v>533</v>
      </c>
      <c r="E302" s="8" t="s">
        <v>489</v>
      </c>
      <c r="F302" s="8" t="s">
        <v>992</v>
      </c>
      <c r="G302" s="8" t="s">
        <v>993</v>
      </c>
      <c r="H302" s="8" t="s">
        <v>994</v>
      </c>
      <c r="I302" s="8" t="s">
        <v>1011</v>
      </c>
      <c r="J302" s="8" t="s">
        <v>1012</v>
      </c>
      <c r="K302" s="8" t="s">
        <v>1010</v>
      </c>
      <c r="L302" s="17">
        <v>1535</v>
      </c>
      <c r="M302" s="8" t="s">
        <v>534</v>
      </c>
      <c r="N302" s="8" t="s">
        <v>497</v>
      </c>
      <c r="O302" s="17">
        <v>0</v>
      </c>
      <c r="P302" s="17">
        <v>1</v>
      </c>
      <c r="Q302" s="18">
        <v>0.1</v>
      </c>
      <c r="R302" s="19"/>
      <c r="S302" s="8" t="s">
        <v>96</v>
      </c>
      <c r="T302" s="8" t="s">
        <v>501</v>
      </c>
      <c r="U302" s="10"/>
      <c r="V302" s="8"/>
      <c r="W302" s="10"/>
      <c r="X302" s="9"/>
      <c r="Y302" s="20"/>
      <c r="Z302" s="9"/>
    </row>
    <row r="303" spans="1:26" x14ac:dyDescent="0.25">
      <c r="A303" s="21" t="str">
        <f>IF(AND(COUNTBLANK('Bid Sheet'!$R$303:$R$303)=1,COUNTBLANK('Bid Sheet'!$U$303:$U$303)=1,COUNTBLANK('Bid Sheet'!$W$303:$Z$303)=4),"",IF(OR(COUNTBLANK('Bid Sheet'!$R$303:$R$303)&gt;0,COUNTBLANK('Bid Sheet'!$X$303:$X$303)&gt;0, SUM(COUNTBLANK('Bid Sheet'!$D$3:$E$3), COUNTBLANK('Bid Sheet'!$D$4:$E$4), COUNTBLANK('Bid Sheet'!$D$5:$E$5), COUNTBLANK('Bid Sheet'!$D$6:$E$6), COUNTBLANK('Bid Sheet'!$D$7:$E$7))&gt;0), "No", "Yes"))</f>
        <v/>
      </c>
      <c r="B303" s="21"/>
      <c r="C303" s="21" t="s">
        <v>417</v>
      </c>
      <c r="D303" s="21" t="s">
        <v>533</v>
      </c>
      <c r="E303" s="21" t="s">
        <v>489</v>
      </c>
      <c r="F303" s="21" t="s">
        <v>992</v>
      </c>
      <c r="G303" s="21" t="s">
        <v>993</v>
      </c>
      <c r="H303" s="21" t="s">
        <v>994</v>
      </c>
      <c r="I303" s="21" t="s">
        <v>1013</v>
      </c>
      <c r="J303" s="21" t="s">
        <v>1014</v>
      </c>
      <c r="K303" s="21" t="s">
        <v>994</v>
      </c>
      <c r="L303" s="22">
        <v>546</v>
      </c>
      <c r="M303" s="21" t="s">
        <v>496</v>
      </c>
      <c r="N303" s="21" t="s">
        <v>497</v>
      </c>
      <c r="O303" s="22">
        <v>185</v>
      </c>
      <c r="P303" s="22">
        <v>102</v>
      </c>
      <c r="Q303" s="23">
        <v>8.5</v>
      </c>
      <c r="R303" s="24"/>
      <c r="S303" s="21" t="s">
        <v>96</v>
      </c>
      <c r="T303" s="21" t="s">
        <v>501</v>
      </c>
      <c r="U303" s="12"/>
      <c r="V303" s="21"/>
      <c r="W303" s="12"/>
      <c r="X303" s="11"/>
      <c r="Y303" s="25"/>
      <c r="Z303" s="11"/>
    </row>
    <row r="304" spans="1:26" x14ac:dyDescent="0.25">
      <c r="A304" s="8" t="str">
        <f>IF(AND(COUNTBLANK('Bid Sheet'!$R$304:$R$304)=1,COUNTBLANK('Bid Sheet'!$U$304:$U$304)=1,COUNTBLANK('Bid Sheet'!$W$304:$Z$304)=4),"",IF(OR(COUNTBLANK('Bid Sheet'!$R$304:$R$304)&gt;0,COUNTBLANK('Bid Sheet'!$X$304:$X$304)&gt;0, SUM(COUNTBLANK('Bid Sheet'!$D$3:$E$3), COUNTBLANK('Bid Sheet'!$D$4:$E$4), COUNTBLANK('Bid Sheet'!$D$5:$E$5), COUNTBLANK('Bid Sheet'!$D$6:$E$6), COUNTBLANK('Bid Sheet'!$D$7:$E$7))&gt;0), "No", "Yes"))</f>
        <v/>
      </c>
      <c r="B304" s="8"/>
      <c r="C304" s="8" t="s">
        <v>418</v>
      </c>
      <c r="D304" s="8" t="s">
        <v>533</v>
      </c>
      <c r="E304" s="8" t="s">
        <v>489</v>
      </c>
      <c r="F304" s="8" t="s">
        <v>992</v>
      </c>
      <c r="G304" s="8" t="s">
        <v>993</v>
      </c>
      <c r="H304" s="8" t="s">
        <v>994</v>
      </c>
      <c r="I304" s="8" t="s">
        <v>1015</v>
      </c>
      <c r="J304" s="8" t="s">
        <v>1016</v>
      </c>
      <c r="K304" s="8" t="s">
        <v>994</v>
      </c>
      <c r="L304" s="17">
        <v>447</v>
      </c>
      <c r="M304" s="8" t="s">
        <v>496</v>
      </c>
      <c r="N304" s="8" t="s">
        <v>497</v>
      </c>
      <c r="O304" s="17">
        <v>158</v>
      </c>
      <c r="P304" s="17">
        <v>9</v>
      </c>
      <c r="Q304" s="18">
        <v>0.8</v>
      </c>
      <c r="R304" s="19"/>
      <c r="S304" s="8" t="s">
        <v>96</v>
      </c>
      <c r="T304" s="8" t="s">
        <v>501</v>
      </c>
      <c r="U304" s="10"/>
      <c r="V304" s="8"/>
      <c r="W304" s="10"/>
      <c r="X304" s="9"/>
      <c r="Y304" s="20"/>
      <c r="Z304" s="9"/>
    </row>
    <row r="305" spans="1:26" x14ac:dyDescent="0.25">
      <c r="A305" s="21" t="str">
        <f>IF(AND(COUNTBLANK('Bid Sheet'!$R$305:$R$305)=1,COUNTBLANK('Bid Sheet'!$U$305:$U$305)=1,COUNTBLANK('Bid Sheet'!$W$305:$Z$305)=4),"",IF(OR(COUNTBLANK('Bid Sheet'!$R$305:$R$305)&gt;0,COUNTBLANK('Bid Sheet'!$X$305:$X$305)&gt;0, SUM(COUNTBLANK('Bid Sheet'!$D$3:$E$3), COUNTBLANK('Bid Sheet'!$D$4:$E$4), COUNTBLANK('Bid Sheet'!$D$5:$E$5), COUNTBLANK('Bid Sheet'!$D$6:$E$6), COUNTBLANK('Bid Sheet'!$D$7:$E$7))&gt;0), "No", "Yes"))</f>
        <v/>
      </c>
      <c r="B305" s="21"/>
      <c r="C305" s="21" t="s">
        <v>419</v>
      </c>
      <c r="D305" s="21" t="s">
        <v>533</v>
      </c>
      <c r="E305" s="21" t="s">
        <v>489</v>
      </c>
      <c r="F305" s="21" t="s">
        <v>992</v>
      </c>
      <c r="G305" s="21" t="s">
        <v>993</v>
      </c>
      <c r="H305" s="21" t="s">
        <v>994</v>
      </c>
      <c r="I305" s="21" t="s">
        <v>1017</v>
      </c>
      <c r="J305" s="21" t="s">
        <v>1018</v>
      </c>
      <c r="K305" s="21" t="s">
        <v>994</v>
      </c>
      <c r="L305" s="22">
        <v>168</v>
      </c>
      <c r="M305" s="21" t="s">
        <v>496</v>
      </c>
      <c r="N305" s="21" t="s">
        <v>497</v>
      </c>
      <c r="O305" s="22">
        <v>51</v>
      </c>
      <c r="P305" s="22">
        <v>1</v>
      </c>
      <c r="Q305" s="23">
        <v>0.1</v>
      </c>
      <c r="R305" s="24"/>
      <c r="S305" s="21" t="s">
        <v>96</v>
      </c>
      <c r="T305" s="21" t="s">
        <v>501</v>
      </c>
      <c r="U305" s="12"/>
      <c r="V305" s="21"/>
      <c r="W305" s="12"/>
      <c r="X305" s="11"/>
      <c r="Y305" s="25"/>
      <c r="Z305" s="11"/>
    </row>
    <row r="306" spans="1:26" x14ac:dyDescent="0.25">
      <c r="A306" s="8" t="str">
        <f>IF(AND(COUNTBLANK('Bid Sheet'!$R$306:$R$306)=1,COUNTBLANK('Bid Sheet'!$U$306:$U$306)=1,COUNTBLANK('Bid Sheet'!$W$306:$Z$306)=4),"",IF(OR(COUNTBLANK('Bid Sheet'!$R$306:$R$306)&gt;0,COUNTBLANK('Bid Sheet'!$X$306:$X$306)&gt;0, SUM(COUNTBLANK('Bid Sheet'!$D$3:$E$3), COUNTBLANK('Bid Sheet'!$D$4:$E$4), COUNTBLANK('Bid Sheet'!$D$5:$E$5), COUNTBLANK('Bid Sheet'!$D$6:$E$6), COUNTBLANK('Bid Sheet'!$D$7:$E$7))&gt;0), "No", "Yes"))</f>
        <v/>
      </c>
      <c r="B306" s="8"/>
      <c r="C306" s="8" t="s">
        <v>420</v>
      </c>
      <c r="D306" s="8" t="s">
        <v>533</v>
      </c>
      <c r="E306" s="8" t="s">
        <v>489</v>
      </c>
      <c r="F306" s="8" t="s">
        <v>992</v>
      </c>
      <c r="G306" s="8" t="s">
        <v>993</v>
      </c>
      <c r="H306" s="8" t="s">
        <v>994</v>
      </c>
      <c r="I306" s="8" t="s">
        <v>1019</v>
      </c>
      <c r="J306" s="8" t="s">
        <v>1020</v>
      </c>
      <c r="K306" s="8" t="s">
        <v>994</v>
      </c>
      <c r="L306" s="17">
        <v>115</v>
      </c>
      <c r="M306" s="8" t="s">
        <v>496</v>
      </c>
      <c r="N306" s="8" t="s">
        <v>497</v>
      </c>
      <c r="O306" s="17">
        <v>37</v>
      </c>
      <c r="P306" s="17">
        <v>124</v>
      </c>
      <c r="Q306" s="18">
        <v>10.3</v>
      </c>
      <c r="R306" s="19"/>
      <c r="S306" s="8" t="s">
        <v>96</v>
      </c>
      <c r="T306" s="8" t="s">
        <v>501</v>
      </c>
      <c r="U306" s="10"/>
      <c r="V306" s="8"/>
      <c r="W306" s="10"/>
      <c r="X306" s="9"/>
      <c r="Y306" s="20"/>
      <c r="Z306" s="9"/>
    </row>
    <row r="307" spans="1:26" x14ac:dyDescent="0.25">
      <c r="A307" s="21" t="str">
        <f>IF(AND(COUNTBLANK('Bid Sheet'!$R$307:$R$307)=1,COUNTBLANK('Bid Sheet'!$U$307:$U$307)=1,COUNTBLANK('Bid Sheet'!$W$307:$Z$307)=4),"",IF(OR(COUNTBLANK('Bid Sheet'!$R$307:$R$307)&gt;0,COUNTBLANK('Bid Sheet'!$X$307:$X$307)&gt;0, SUM(COUNTBLANK('Bid Sheet'!$D$3:$E$3), COUNTBLANK('Bid Sheet'!$D$4:$E$4), COUNTBLANK('Bid Sheet'!$D$5:$E$5), COUNTBLANK('Bid Sheet'!$D$6:$E$6), COUNTBLANK('Bid Sheet'!$D$7:$E$7))&gt;0), "No", "Yes"))</f>
        <v/>
      </c>
      <c r="B307" s="21"/>
      <c r="C307" s="21" t="s">
        <v>421</v>
      </c>
      <c r="D307" s="21" t="s">
        <v>533</v>
      </c>
      <c r="E307" s="21" t="s">
        <v>489</v>
      </c>
      <c r="F307" s="21" t="s">
        <v>992</v>
      </c>
      <c r="G307" s="21" t="s">
        <v>993</v>
      </c>
      <c r="H307" s="21" t="s">
        <v>994</v>
      </c>
      <c r="I307" s="21" t="s">
        <v>1021</v>
      </c>
      <c r="J307" s="21" t="s">
        <v>1020</v>
      </c>
      <c r="K307" s="21" t="s">
        <v>994</v>
      </c>
      <c r="L307" s="22">
        <v>64</v>
      </c>
      <c r="M307" s="21" t="s">
        <v>496</v>
      </c>
      <c r="N307" s="21" t="s">
        <v>497</v>
      </c>
      <c r="O307" s="22">
        <v>40</v>
      </c>
      <c r="P307" s="22">
        <v>97</v>
      </c>
      <c r="Q307" s="23">
        <v>8.1</v>
      </c>
      <c r="R307" s="24"/>
      <c r="S307" s="21" t="s">
        <v>96</v>
      </c>
      <c r="T307" s="21" t="s">
        <v>501</v>
      </c>
      <c r="U307" s="12"/>
      <c r="V307" s="21"/>
      <c r="W307" s="12"/>
      <c r="X307" s="11"/>
      <c r="Y307" s="25"/>
      <c r="Z307" s="11"/>
    </row>
    <row r="308" spans="1:26" x14ac:dyDescent="0.25">
      <c r="A308" s="8" t="str">
        <f>IF(AND(COUNTBLANK('Bid Sheet'!$R$308:$R$308)=1,COUNTBLANK('Bid Sheet'!$U$308:$U$308)=1,COUNTBLANK('Bid Sheet'!$W$308:$Z$308)=4),"",IF(OR(COUNTBLANK('Bid Sheet'!$R$308:$R$308)&gt;0,COUNTBLANK('Bid Sheet'!$X$308:$X$308)&gt;0, SUM(COUNTBLANK('Bid Sheet'!$D$3:$E$3), COUNTBLANK('Bid Sheet'!$D$4:$E$4), COUNTBLANK('Bid Sheet'!$D$5:$E$5), COUNTBLANK('Bid Sheet'!$D$6:$E$6), COUNTBLANK('Bid Sheet'!$D$7:$E$7))&gt;0), "No", "Yes"))</f>
        <v/>
      </c>
      <c r="B308" s="8"/>
      <c r="C308" s="8" t="s">
        <v>422</v>
      </c>
      <c r="D308" s="8" t="s">
        <v>533</v>
      </c>
      <c r="E308" s="8" t="s">
        <v>489</v>
      </c>
      <c r="F308" s="8" t="s">
        <v>992</v>
      </c>
      <c r="G308" s="8" t="s">
        <v>993</v>
      </c>
      <c r="H308" s="8" t="s">
        <v>994</v>
      </c>
      <c r="I308" s="8" t="s">
        <v>1022</v>
      </c>
      <c r="J308" s="8" t="s">
        <v>1023</v>
      </c>
      <c r="K308" s="8" t="s">
        <v>994</v>
      </c>
      <c r="L308" s="17">
        <v>92</v>
      </c>
      <c r="M308" s="8" t="s">
        <v>496</v>
      </c>
      <c r="N308" s="8" t="s">
        <v>497</v>
      </c>
      <c r="O308" s="17">
        <v>31</v>
      </c>
      <c r="P308" s="17">
        <v>149</v>
      </c>
      <c r="Q308" s="18">
        <v>12.4</v>
      </c>
      <c r="R308" s="19"/>
      <c r="S308" s="8" t="s">
        <v>96</v>
      </c>
      <c r="T308" s="8" t="s">
        <v>501</v>
      </c>
      <c r="U308" s="10"/>
      <c r="V308" s="8"/>
      <c r="W308" s="10"/>
      <c r="X308" s="9"/>
      <c r="Y308" s="20"/>
      <c r="Z308" s="9"/>
    </row>
    <row r="309" spans="1:26" x14ac:dyDescent="0.25">
      <c r="A309" s="21" t="str">
        <f>IF(AND(COUNTBLANK('Bid Sheet'!$R$309:$R$309)=1,COUNTBLANK('Bid Sheet'!$U$309:$U$309)=1,COUNTBLANK('Bid Sheet'!$W$309:$Z$309)=4),"",IF(OR(COUNTBLANK('Bid Sheet'!$R$309:$R$309)&gt;0,COUNTBLANK('Bid Sheet'!$X$309:$X$309)&gt;0, SUM(COUNTBLANK('Bid Sheet'!$D$3:$E$3), COUNTBLANK('Bid Sheet'!$D$4:$E$4), COUNTBLANK('Bid Sheet'!$D$5:$E$5), COUNTBLANK('Bid Sheet'!$D$6:$E$6), COUNTBLANK('Bid Sheet'!$D$7:$E$7))&gt;0), "No", "Yes"))</f>
        <v/>
      </c>
      <c r="B309" s="21"/>
      <c r="C309" s="21" t="s">
        <v>423</v>
      </c>
      <c r="D309" s="21" t="s">
        <v>533</v>
      </c>
      <c r="E309" s="21" t="s">
        <v>489</v>
      </c>
      <c r="F309" s="21" t="s">
        <v>992</v>
      </c>
      <c r="G309" s="21" t="s">
        <v>993</v>
      </c>
      <c r="H309" s="21" t="s">
        <v>994</v>
      </c>
      <c r="I309" s="21" t="s">
        <v>1024</v>
      </c>
      <c r="J309" s="21" t="s">
        <v>1025</v>
      </c>
      <c r="K309" s="21" t="s">
        <v>994</v>
      </c>
      <c r="L309" s="22">
        <v>95</v>
      </c>
      <c r="M309" s="21" t="s">
        <v>496</v>
      </c>
      <c r="N309" s="21" t="s">
        <v>497</v>
      </c>
      <c r="O309" s="22">
        <v>34</v>
      </c>
      <c r="P309" s="22">
        <v>119</v>
      </c>
      <c r="Q309" s="23">
        <v>9.9</v>
      </c>
      <c r="R309" s="24"/>
      <c r="S309" s="21" t="s">
        <v>96</v>
      </c>
      <c r="T309" s="21" t="s">
        <v>501</v>
      </c>
      <c r="U309" s="12"/>
      <c r="V309" s="21"/>
      <c r="W309" s="12"/>
      <c r="X309" s="11"/>
      <c r="Y309" s="25"/>
      <c r="Z309" s="11"/>
    </row>
    <row r="310" spans="1:26" x14ac:dyDescent="0.25">
      <c r="A310" s="8" t="str">
        <f>IF(AND(COUNTBLANK('Bid Sheet'!$R$310:$R$310)=1,COUNTBLANK('Bid Sheet'!$U$310:$U$310)=1,COUNTBLANK('Bid Sheet'!$W$310:$Z$310)=4),"",IF(OR(COUNTBLANK('Bid Sheet'!$R$310:$R$310)&gt;0,COUNTBLANK('Bid Sheet'!$X$310:$X$310)&gt;0, SUM(COUNTBLANK('Bid Sheet'!$D$3:$E$3), COUNTBLANK('Bid Sheet'!$D$4:$E$4), COUNTBLANK('Bid Sheet'!$D$5:$E$5), COUNTBLANK('Bid Sheet'!$D$6:$E$6), COUNTBLANK('Bid Sheet'!$D$7:$E$7))&gt;0), "No", "Yes"))</f>
        <v/>
      </c>
      <c r="B310" s="8"/>
      <c r="C310" s="8" t="s">
        <v>424</v>
      </c>
      <c r="D310" s="8" t="s">
        <v>533</v>
      </c>
      <c r="E310" s="8" t="s">
        <v>489</v>
      </c>
      <c r="F310" s="8" t="s">
        <v>992</v>
      </c>
      <c r="G310" s="8" t="s">
        <v>993</v>
      </c>
      <c r="H310" s="8" t="s">
        <v>994</v>
      </c>
      <c r="I310" s="8" t="s">
        <v>1026</v>
      </c>
      <c r="J310" s="8" t="s">
        <v>1027</v>
      </c>
      <c r="K310" s="8" t="s">
        <v>994</v>
      </c>
      <c r="L310" s="17">
        <v>119</v>
      </c>
      <c r="M310" s="8" t="s">
        <v>496</v>
      </c>
      <c r="N310" s="8" t="s">
        <v>497</v>
      </c>
      <c r="O310" s="17">
        <v>39</v>
      </c>
      <c r="P310" s="17">
        <v>9</v>
      </c>
      <c r="Q310" s="18">
        <v>0.8</v>
      </c>
      <c r="R310" s="19"/>
      <c r="S310" s="8" t="s">
        <v>96</v>
      </c>
      <c r="T310" s="8" t="s">
        <v>501</v>
      </c>
      <c r="U310" s="10"/>
      <c r="V310" s="8"/>
      <c r="W310" s="10"/>
      <c r="X310" s="9"/>
      <c r="Y310" s="20"/>
      <c r="Z310" s="9"/>
    </row>
    <row r="311" spans="1:26" x14ac:dyDescent="0.25">
      <c r="A311" s="21" t="str">
        <f>IF(AND(COUNTBLANK('Bid Sheet'!$R$311:$R$311)=1,COUNTBLANK('Bid Sheet'!$U$311:$U$311)=1,COUNTBLANK('Bid Sheet'!$W$311:$Z$311)=4),"",IF(OR(COUNTBLANK('Bid Sheet'!$R$311:$R$311)&gt;0,COUNTBLANK('Bid Sheet'!$X$311:$X$311)&gt;0, SUM(COUNTBLANK('Bid Sheet'!$D$3:$E$3), COUNTBLANK('Bid Sheet'!$D$4:$E$4), COUNTBLANK('Bid Sheet'!$D$5:$E$5), COUNTBLANK('Bid Sheet'!$D$6:$E$6), COUNTBLANK('Bid Sheet'!$D$7:$E$7))&gt;0), "No", "Yes"))</f>
        <v/>
      </c>
      <c r="B311" s="21"/>
      <c r="C311" s="21" t="s">
        <v>425</v>
      </c>
      <c r="D311" s="21" t="s">
        <v>533</v>
      </c>
      <c r="E311" s="21" t="s">
        <v>489</v>
      </c>
      <c r="F311" s="21" t="s">
        <v>992</v>
      </c>
      <c r="G311" s="21" t="s">
        <v>993</v>
      </c>
      <c r="H311" s="21" t="s">
        <v>994</v>
      </c>
      <c r="I311" s="21" t="s">
        <v>1028</v>
      </c>
      <c r="J311" s="21" t="s">
        <v>993</v>
      </c>
      <c r="K311" s="21" t="s">
        <v>994</v>
      </c>
      <c r="L311" s="22">
        <v>8</v>
      </c>
      <c r="M311" s="21" t="s">
        <v>496</v>
      </c>
      <c r="N311" s="21" t="s">
        <v>497</v>
      </c>
      <c r="O311" s="22">
        <v>4</v>
      </c>
      <c r="P311" s="22">
        <v>8</v>
      </c>
      <c r="Q311" s="23">
        <v>0.7</v>
      </c>
      <c r="R311" s="24"/>
      <c r="S311" s="21" t="s">
        <v>96</v>
      </c>
      <c r="T311" s="21" t="s">
        <v>501</v>
      </c>
      <c r="U311" s="12"/>
      <c r="V311" s="21"/>
      <c r="W311" s="12"/>
      <c r="X311" s="11"/>
      <c r="Y311" s="25"/>
      <c r="Z311" s="11"/>
    </row>
    <row r="312" spans="1:26" x14ac:dyDescent="0.25">
      <c r="A312" s="8" t="str">
        <f>IF(AND(COUNTBLANK('Bid Sheet'!$R$312:$R$312)=1,COUNTBLANK('Bid Sheet'!$U$312:$U$312)=1,COUNTBLANK('Bid Sheet'!$W$312:$Z$312)=4),"",IF(OR(COUNTBLANK('Bid Sheet'!$R$312:$R$312)&gt;0,COUNTBLANK('Bid Sheet'!$X$312:$X$312)&gt;0, SUM(COUNTBLANK('Bid Sheet'!$D$3:$E$3), COUNTBLANK('Bid Sheet'!$D$4:$E$4), COUNTBLANK('Bid Sheet'!$D$5:$E$5), COUNTBLANK('Bid Sheet'!$D$6:$E$6), COUNTBLANK('Bid Sheet'!$D$7:$E$7))&gt;0), "No", "Yes"))</f>
        <v/>
      </c>
      <c r="B312" s="8"/>
      <c r="C312" s="8" t="s">
        <v>426</v>
      </c>
      <c r="D312" s="8" t="s">
        <v>533</v>
      </c>
      <c r="E312" s="8" t="s">
        <v>489</v>
      </c>
      <c r="F312" s="8" t="s">
        <v>992</v>
      </c>
      <c r="G312" s="8" t="s">
        <v>993</v>
      </c>
      <c r="H312" s="8" t="s">
        <v>994</v>
      </c>
      <c r="I312" s="8" t="s">
        <v>1029</v>
      </c>
      <c r="J312" s="8" t="s">
        <v>1030</v>
      </c>
      <c r="K312" s="8" t="s">
        <v>994</v>
      </c>
      <c r="L312" s="17">
        <v>51</v>
      </c>
      <c r="M312" s="8" t="s">
        <v>496</v>
      </c>
      <c r="N312" s="8" t="s">
        <v>497</v>
      </c>
      <c r="O312" s="17">
        <v>20</v>
      </c>
      <c r="P312" s="17">
        <v>43</v>
      </c>
      <c r="Q312" s="18">
        <v>3.6</v>
      </c>
      <c r="R312" s="19"/>
      <c r="S312" s="8" t="s">
        <v>96</v>
      </c>
      <c r="T312" s="8" t="s">
        <v>501</v>
      </c>
      <c r="U312" s="10"/>
      <c r="V312" s="8"/>
      <c r="W312" s="10"/>
      <c r="X312" s="9"/>
      <c r="Y312" s="20"/>
      <c r="Z312" s="9"/>
    </row>
    <row r="313" spans="1:26" x14ac:dyDescent="0.25">
      <c r="A313" s="21" t="str">
        <f>IF(AND(COUNTBLANK('Bid Sheet'!$R$313:$R$313)=1,COUNTBLANK('Bid Sheet'!$U$313:$U$313)=1,COUNTBLANK('Bid Sheet'!$W$313:$Z$313)=4),"",IF(OR(COUNTBLANK('Bid Sheet'!$R$313:$R$313)&gt;0,COUNTBLANK('Bid Sheet'!$X$313:$X$313)&gt;0, SUM(COUNTBLANK('Bid Sheet'!$D$3:$E$3), COUNTBLANK('Bid Sheet'!$D$4:$E$4), COUNTBLANK('Bid Sheet'!$D$5:$E$5), COUNTBLANK('Bid Sheet'!$D$6:$E$6), COUNTBLANK('Bid Sheet'!$D$7:$E$7))&gt;0), "No", "Yes"))</f>
        <v/>
      </c>
      <c r="B313" s="21"/>
      <c r="C313" s="21" t="s">
        <v>427</v>
      </c>
      <c r="D313" s="21" t="s">
        <v>533</v>
      </c>
      <c r="E313" s="21" t="s">
        <v>489</v>
      </c>
      <c r="F313" s="21" t="s">
        <v>992</v>
      </c>
      <c r="G313" s="21" t="s">
        <v>993</v>
      </c>
      <c r="H313" s="21" t="s">
        <v>994</v>
      </c>
      <c r="I313" s="21" t="s">
        <v>1031</v>
      </c>
      <c r="J313" s="21" t="s">
        <v>1032</v>
      </c>
      <c r="K313" s="21" t="s">
        <v>981</v>
      </c>
      <c r="L313" s="22">
        <v>1178</v>
      </c>
      <c r="M313" s="21" t="s">
        <v>496</v>
      </c>
      <c r="N313" s="21" t="s">
        <v>497</v>
      </c>
      <c r="O313" s="22">
        <v>219</v>
      </c>
      <c r="P313" s="22">
        <v>8</v>
      </c>
      <c r="Q313" s="23">
        <v>0.7</v>
      </c>
      <c r="R313" s="24"/>
      <c r="S313" s="21" t="s">
        <v>96</v>
      </c>
      <c r="T313" s="21" t="s">
        <v>501</v>
      </c>
      <c r="U313" s="12"/>
      <c r="V313" s="21"/>
      <c r="W313" s="12"/>
      <c r="X313" s="11"/>
      <c r="Y313" s="25"/>
      <c r="Z313" s="11"/>
    </row>
    <row r="314" spans="1:26" x14ac:dyDescent="0.25">
      <c r="A314" s="8" t="str">
        <f>IF(AND(COUNTBLANK('Bid Sheet'!$R$314:$R$314)=1,COUNTBLANK('Bid Sheet'!$U$314:$U$314)=1,COUNTBLANK('Bid Sheet'!$W$314:$Z$314)=4),"",IF(OR(COUNTBLANK('Bid Sheet'!$R$314:$R$314)&gt;0,COUNTBLANK('Bid Sheet'!$X$314:$X$314)&gt;0, SUM(COUNTBLANK('Bid Sheet'!$D$3:$E$3), COUNTBLANK('Bid Sheet'!$D$4:$E$4), COUNTBLANK('Bid Sheet'!$D$5:$E$5), COUNTBLANK('Bid Sheet'!$D$6:$E$6), COUNTBLANK('Bid Sheet'!$D$7:$E$7))&gt;0), "No", "Yes"))</f>
        <v/>
      </c>
      <c r="B314" s="8"/>
      <c r="C314" s="8" t="s">
        <v>428</v>
      </c>
      <c r="D314" s="8" t="s">
        <v>533</v>
      </c>
      <c r="E314" s="8" t="s">
        <v>489</v>
      </c>
      <c r="F314" s="8" t="s">
        <v>992</v>
      </c>
      <c r="G314" s="8" t="s">
        <v>993</v>
      </c>
      <c r="H314" s="8" t="s">
        <v>994</v>
      </c>
      <c r="I314" s="8" t="s">
        <v>1033</v>
      </c>
      <c r="J314" s="8" t="s">
        <v>1034</v>
      </c>
      <c r="K314" s="8" t="s">
        <v>981</v>
      </c>
      <c r="L314" s="17">
        <v>1178</v>
      </c>
      <c r="M314" s="8" t="s">
        <v>496</v>
      </c>
      <c r="N314" s="8" t="s">
        <v>497</v>
      </c>
      <c r="O314" s="17">
        <v>232</v>
      </c>
      <c r="P314" s="17">
        <v>330</v>
      </c>
      <c r="Q314" s="18">
        <v>27.5</v>
      </c>
      <c r="R314" s="19"/>
      <c r="S314" s="8" t="s">
        <v>96</v>
      </c>
      <c r="T314" s="8" t="s">
        <v>501</v>
      </c>
      <c r="U314" s="10"/>
      <c r="V314" s="8"/>
      <c r="W314" s="10"/>
      <c r="X314" s="9"/>
      <c r="Y314" s="20"/>
      <c r="Z314" s="9"/>
    </row>
    <row r="315" spans="1:26" x14ac:dyDescent="0.25">
      <c r="A315" s="21" t="str">
        <f>IF(AND(COUNTBLANK('Bid Sheet'!$R$315:$R$315)=1,COUNTBLANK('Bid Sheet'!$U$315:$U$315)=1,COUNTBLANK('Bid Sheet'!$W$315:$Z$315)=4),"",IF(OR(COUNTBLANK('Bid Sheet'!$R$315:$R$315)&gt;0,COUNTBLANK('Bid Sheet'!$X$315:$X$315)&gt;0, SUM(COUNTBLANK('Bid Sheet'!$D$3:$E$3), COUNTBLANK('Bid Sheet'!$D$4:$E$4), COUNTBLANK('Bid Sheet'!$D$5:$E$5), COUNTBLANK('Bid Sheet'!$D$6:$E$6), COUNTBLANK('Bid Sheet'!$D$7:$E$7))&gt;0), "No", "Yes"))</f>
        <v/>
      </c>
      <c r="B315" s="21"/>
      <c r="C315" s="21" t="s">
        <v>429</v>
      </c>
      <c r="D315" s="21" t="s">
        <v>533</v>
      </c>
      <c r="E315" s="21" t="s">
        <v>489</v>
      </c>
      <c r="F315" s="21" t="s">
        <v>992</v>
      </c>
      <c r="G315" s="21" t="s">
        <v>993</v>
      </c>
      <c r="H315" s="21" t="s">
        <v>994</v>
      </c>
      <c r="I315" s="21" t="s">
        <v>1035</v>
      </c>
      <c r="J315" s="21" t="s">
        <v>1036</v>
      </c>
      <c r="K315" s="21" t="s">
        <v>981</v>
      </c>
      <c r="L315" s="22">
        <v>1178</v>
      </c>
      <c r="M315" s="21" t="s">
        <v>496</v>
      </c>
      <c r="N315" s="21" t="s">
        <v>497</v>
      </c>
      <c r="O315" s="22">
        <v>227</v>
      </c>
      <c r="P315" s="22">
        <v>138</v>
      </c>
      <c r="Q315" s="23">
        <v>11.5</v>
      </c>
      <c r="R315" s="24"/>
      <c r="S315" s="21" t="s">
        <v>96</v>
      </c>
      <c r="T315" s="21" t="s">
        <v>501</v>
      </c>
      <c r="U315" s="12"/>
      <c r="V315" s="21"/>
      <c r="W315" s="12"/>
      <c r="X315" s="11"/>
      <c r="Y315" s="25"/>
      <c r="Z315" s="11"/>
    </row>
    <row r="316" spans="1:26" x14ac:dyDescent="0.25">
      <c r="A316" s="8" t="str">
        <f>IF(AND(COUNTBLANK('Bid Sheet'!$R$316:$R$316)=1,COUNTBLANK('Bid Sheet'!$U$316:$U$316)=1,COUNTBLANK('Bid Sheet'!$W$316:$Z$316)=4),"",IF(OR(COUNTBLANK('Bid Sheet'!$R$316:$R$316)&gt;0,COUNTBLANK('Bid Sheet'!$X$316:$X$316)&gt;0, SUM(COUNTBLANK('Bid Sheet'!$D$3:$E$3), COUNTBLANK('Bid Sheet'!$D$4:$E$4), COUNTBLANK('Bid Sheet'!$D$5:$E$5), COUNTBLANK('Bid Sheet'!$D$6:$E$6), COUNTBLANK('Bid Sheet'!$D$7:$E$7))&gt;0), "No", "Yes"))</f>
        <v/>
      </c>
      <c r="B316" s="8"/>
      <c r="C316" s="8" t="s">
        <v>430</v>
      </c>
      <c r="D316" s="8" t="s">
        <v>533</v>
      </c>
      <c r="E316" s="8" t="s">
        <v>952</v>
      </c>
      <c r="F316" s="8" t="s">
        <v>1037</v>
      </c>
      <c r="G316" s="8" t="s">
        <v>1038</v>
      </c>
      <c r="H316" s="8" t="s">
        <v>1000</v>
      </c>
      <c r="I316" s="8" t="s">
        <v>992</v>
      </c>
      <c r="J316" s="8" t="s">
        <v>993</v>
      </c>
      <c r="K316" s="8" t="s">
        <v>994</v>
      </c>
      <c r="L316" s="17">
        <v>2488</v>
      </c>
      <c r="M316" s="8" t="s">
        <v>955</v>
      </c>
      <c r="N316" s="8" t="s">
        <v>956</v>
      </c>
      <c r="O316" s="17">
        <v>1149</v>
      </c>
      <c r="P316" s="17">
        <v>10</v>
      </c>
      <c r="Q316" s="18">
        <v>0.8</v>
      </c>
      <c r="R316" s="19"/>
      <c r="S316" s="8" t="s">
        <v>96</v>
      </c>
      <c r="T316" s="8" t="s">
        <v>501</v>
      </c>
      <c r="U316" s="10"/>
      <c r="V316" s="8"/>
      <c r="W316" s="10"/>
      <c r="X316" s="9"/>
      <c r="Y316" s="20"/>
      <c r="Z316" s="9"/>
    </row>
    <row r="317" spans="1:26" x14ac:dyDescent="0.25">
      <c r="A317" s="21" t="str">
        <f>IF(AND(COUNTBLANK('Bid Sheet'!$R$317:$R$317)=1,COUNTBLANK('Bid Sheet'!$U$317:$U$317)=1,COUNTBLANK('Bid Sheet'!$W$317:$Z$317)=4),"",IF(OR(COUNTBLANK('Bid Sheet'!$R$317:$R$317)&gt;0,COUNTBLANK('Bid Sheet'!$X$317:$X$317)&gt;0, SUM(COUNTBLANK('Bid Sheet'!$D$3:$E$3), COUNTBLANK('Bid Sheet'!$D$4:$E$4), COUNTBLANK('Bid Sheet'!$D$5:$E$5), COUNTBLANK('Bid Sheet'!$D$6:$E$6), COUNTBLANK('Bid Sheet'!$D$7:$E$7))&gt;0), "No", "Yes"))</f>
        <v/>
      </c>
      <c r="B317" s="21"/>
      <c r="C317" s="21" t="s">
        <v>431</v>
      </c>
      <c r="D317" s="21" t="s">
        <v>533</v>
      </c>
      <c r="E317" s="21" t="s">
        <v>952</v>
      </c>
      <c r="F317" s="21" t="s">
        <v>1039</v>
      </c>
      <c r="G317" s="21" t="s">
        <v>1040</v>
      </c>
      <c r="H317" s="21" t="s">
        <v>994</v>
      </c>
      <c r="I317" s="21" t="s">
        <v>992</v>
      </c>
      <c r="J317" s="21" t="s">
        <v>993</v>
      </c>
      <c r="K317" s="21" t="s">
        <v>994</v>
      </c>
      <c r="L317" s="22">
        <v>78</v>
      </c>
      <c r="M317" s="21" t="s">
        <v>496</v>
      </c>
      <c r="N317" s="21" t="s">
        <v>497</v>
      </c>
      <c r="O317" s="22">
        <v>25</v>
      </c>
      <c r="P317" s="22">
        <v>45</v>
      </c>
      <c r="Q317" s="23">
        <v>3.8</v>
      </c>
      <c r="R317" s="24"/>
      <c r="S317" s="21" t="s">
        <v>96</v>
      </c>
      <c r="T317" s="21" t="s">
        <v>501</v>
      </c>
      <c r="U317" s="12"/>
      <c r="V317" s="21"/>
      <c r="W317" s="12"/>
      <c r="X317" s="11"/>
      <c r="Y317" s="25"/>
      <c r="Z317" s="11"/>
    </row>
    <row r="318" spans="1:26" x14ac:dyDescent="0.25">
      <c r="A318" s="8" t="str">
        <f>IF(AND(COUNTBLANK('Bid Sheet'!$R$318:$R$318)=1,COUNTBLANK('Bid Sheet'!$U$318:$U$318)=1,COUNTBLANK('Bid Sheet'!$W$318:$Z$318)=4),"",IF(OR(COUNTBLANK('Bid Sheet'!$R$318:$R$318)&gt;0,COUNTBLANK('Bid Sheet'!$X$318:$X$318)&gt;0, SUM(COUNTBLANK('Bid Sheet'!$D$3:$E$3), COUNTBLANK('Bid Sheet'!$D$4:$E$4), COUNTBLANK('Bid Sheet'!$D$5:$E$5), COUNTBLANK('Bid Sheet'!$D$6:$E$6), COUNTBLANK('Bid Sheet'!$D$7:$E$7))&gt;0), "No", "Yes"))</f>
        <v/>
      </c>
      <c r="B318" s="8"/>
      <c r="C318" s="8" t="s">
        <v>432</v>
      </c>
      <c r="D318" s="8" t="s">
        <v>533</v>
      </c>
      <c r="E318" s="8" t="s">
        <v>952</v>
      </c>
      <c r="F318" s="8" t="s">
        <v>1041</v>
      </c>
      <c r="G318" s="8" t="s">
        <v>1042</v>
      </c>
      <c r="H318" s="8" t="s">
        <v>981</v>
      </c>
      <c r="I318" s="8" t="s">
        <v>992</v>
      </c>
      <c r="J318" s="8" t="s">
        <v>993</v>
      </c>
      <c r="K318" s="8" t="s">
        <v>994</v>
      </c>
      <c r="L318" s="17">
        <v>1535</v>
      </c>
      <c r="M318" s="8" t="s">
        <v>496</v>
      </c>
      <c r="N318" s="8" t="s">
        <v>497</v>
      </c>
      <c r="O318" s="17">
        <v>271</v>
      </c>
      <c r="P318" s="17">
        <v>13</v>
      </c>
      <c r="Q318" s="18">
        <v>1.1000000000000001</v>
      </c>
      <c r="R318" s="19"/>
      <c r="S318" s="8" t="s">
        <v>96</v>
      </c>
      <c r="T318" s="8" t="s">
        <v>501</v>
      </c>
      <c r="U318" s="10"/>
      <c r="V318" s="8"/>
      <c r="W318" s="10"/>
      <c r="X318" s="9"/>
      <c r="Y318" s="20"/>
      <c r="Z318" s="9"/>
    </row>
    <row r="319" spans="1:26" x14ac:dyDescent="0.25">
      <c r="A319" s="21" t="str">
        <f>IF(AND(COUNTBLANK('Bid Sheet'!$R$319:$R$319)=1,COUNTBLANK('Bid Sheet'!$U$319:$U$319)=1,COUNTBLANK('Bid Sheet'!$W$319:$Z$319)=4),"",IF(OR(COUNTBLANK('Bid Sheet'!$R$319:$R$319)&gt;0,COUNTBLANK('Bid Sheet'!$X$319:$X$319)&gt;0, SUM(COUNTBLANK('Bid Sheet'!$D$3:$E$3), COUNTBLANK('Bid Sheet'!$D$4:$E$4), COUNTBLANK('Bid Sheet'!$D$5:$E$5), COUNTBLANK('Bid Sheet'!$D$6:$E$6), COUNTBLANK('Bid Sheet'!$D$7:$E$7))&gt;0), "No", "Yes"))</f>
        <v/>
      </c>
      <c r="B319" s="21"/>
      <c r="C319" s="21" t="s">
        <v>433</v>
      </c>
      <c r="D319" s="21" t="s">
        <v>533</v>
      </c>
      <c r="E319" s="21" t="s">
        <v>952</v>
      </c>
      <c r="F319" s="21" t="s">
        <v>1043</v>
      </c>
      <c r="G319" s="21" t="s">
        <v>1044</v>
      </c>
      <c r="H319" s="21" t="s">
        <v>770</v>
      </c>
      <c r="I319" s="21" t="s">
        <v>992</v>
      </c>
      <c r="J319" s="21" t="s">
        <v>993</v>
      </c>
      <c r="K319" s="21" t="s">
        <v>994</v>
      </c>
      <c r="L319" s="22">
        <v>774</v>
      </c>
      <c r="M319" s="21" t="s">
        <v>955</v>
      </c>
      <c r="N319" s="21" t="s">
        <v>956</v>
      </c>
      <c r="O319" s="22">
        <v>240</v>
      </c>
      <c r="P319" s="22">
        <v>3</v>
      </c>
      <c r="Q319" s="23">
        <v>0.3</v>
      </c>
      <c r="R319" s="24"/>
      <c r="S319" s="21" t="s">
        <v>96</v>
      </c>
      <c r="T319" s="21" t="s">
        <v>501</v>
      </c>
      <c r="U319" s="12"/>
      <c r="V319" s="21"/>
      <c r="W319" s="12"/>
      <c r="X319" s="11"/>
      <c r="Y319" s="25"/>
      <c r="Z319" s="11"/>
    </row>
    <row r="320" spans="1:26" x14ac:dyDescent="0.25">
      <c r="A320" s="8" t="str">
        <f>IF(AND(COUNTBLANK('Bid Sheet'!$R$320:$R$320)=1,COUNTBLANK('Bid Sheet'!$U$320:$U$320)=1,COUNTBLANK('Bid Sheet'!$W$320:$Z$320)=4),"",IF(OR(COUNTBLANK('Bid Sheet'!$R$320:$R$320)&gt;0,COUNTBLANK('Bid Sheet'!$X$320:$X$320)&gt;0, SUM(COUNTBLANK('Bid Sheet'!$D$3:$E$3), COUNTBLANK('Bid Sheet'!$D$4:$E$4), COUNTBLANK('Bid Sheet'!$D$5:$E$5), COUNTBLANK('Bid Sheet'!$D$6:$E$6), COUNTBLANK('Bid Sheet'!$D$7:$E$7))&gt;0), "No", "Yes"))</f>
        <v/>
      </c>
      <c r="B320" s="8"/>
      <c r="C320" s="8" t="s">
        <v>434</v>
      </c>
      <c r="D320" s="8" t="s">
        <v>533</v>
      </c>
      <c r="E320" s="8" t="s">
        <v>952</v>
      </c>
      <c r="F320" s="8" t="s">
        <v>1045</v>
      </c>
      <c r="G320" s="8" t="s">
        <v>960</v>
      </c>
      <c r="H320" s="8" t="s">
        <v>770</v>
      </c>
      <c r="I320" s="8" t="s">
        <v>992</v>
      </c>
      <c r="J320" s="8" t="s">
        <v>993</v>
      </c>
      <c r="K320" s="8" t="s">
        <v>994</v>
      </c>
      <c r="L320" s="17">
        <v>1880</v>
      </c>
      <c r="M320" s="8" t="s">
        <v>955</v>
      </c>
      <c r="N320" s="8" t="s">
        <v>956</v>
      </c>
      <c r="O320" s="17">
        <v>238</v>
      </c>
      <c r="P320" s="17">
        <v>1</v>
      </c>
      <c r="Q320" s="18">
        <v>0.1</v>
      </c>
      <c r="R320" s="19"/>
      <c r="S320" s="8" t="s">
        <v>96</v>
      </c>
      <c r="T320" s="8" t="s">
        <v>501</v>
      </c>
      <c r="U320" s="10"/>
      <c r="V320" s="8"/>
      <c r="W320" s="10"/>
      <c r="X320" s="9"/>
      <c r="Y320" s="20"/>
      <c r="Z320" s="9"/>
    </row>
    <row r="321" spans="1:26" x14ac:dyDescent="0.25">
      <c r="A321" s="21" t="str">
        <f>IF(AND(COUNTBLANK('Bid Sheet'!$R$321:$R$321)=1,COUNTBLANK('Bid Sheet'!$U$321:$U$321)=1,COUNTBLANK('Bid Sheet'!$W$321:$Z$321)=4),"",IF(OR(COUNTBLANK('Bid Sheet'!$R$321:$R$321)&gt;0,COUNTBLANK('Bid Sheet'!$X$321:$X$321)&gt;0, SUM(COUNTBLANK('Bid Sheet'!$D$3:$E$3), COUNTBLANK('Bid Sheet'!$D$4:$E$4), COUNTBLANK('Bid Sheet'!$D$5:$E$5), COUNTBLANK('Bid Sheet'!$D$6:$E$6), COUNTBLANK('Bid Sheet'!$D$7:$E$7))&gt;0), "No", "Yes"))</f>
        <v/>
      </c>
      <c r="B321" s="21"/>
      <c r="C321" s="21" t="s">
        <v>435</v>
      </c>
      <c r="D321" s="21" t="s">
        <v>533</v>
      </c>
      <c r="E321" s="21" t="s">
        <v>952</v>
      </c>
      <c r="F321" s="21" t="s">
        <v>1046</v>
      </c>
      <c r="G321" s="21" t="s">
        <v>1047</v>
      </c>
      <c r="H321" s="21" t="s">
        <v>633</v>
      </c>
      <c r="I321" s="21" t="s">
        <v>992</v>
      </c>
      <c r="J321" s="21" t="s">
        <v>993</v>
      </c>
      <c r="K321" s="21" t="s">
        <v>994</v>
      </c>
      <c r="L321" s="22">
        <v>2636</v>
      </c>
      <c r="M321" s="21" t="s">
        <v>955</v>
      </c>
      <c r="N321" s="21" t="s">
        <v>956</v>
      </c>
      <c r="O321" s="22">
        <v>352</v>
      </c>
      <c r="P321" s="22">
        <v>6</v>
      </c>
      <c r="Q321" s="23">
        <v>0.5</v>
      </c>
      <c r="R321" s="24"/>
      <c r="S321" s="21" t="s">
        <v>96</v>
      </c>
      <c r="T321" s="21" t="s">
        <v>501</v>
      </c>
      <c r="U321" s="12"/>
      <c r="V321" s="21"/>
      <c r="W321" s="12"/>
      <c r="X321" s="11"/>
      <c r="Y321" s="25"/>
      <c r="Z321" s="11"/>
    </row>
    <row r="322" spans="1:26" x14ac:dyDescent="0.25">
      <c r="A322" s="8" t="str">
        <f>IF(AND(COUNTBLANK('Bid Sheet'!$R$322:$R$322)=1,COUNTBLANK('Bid Sheet'!$U$322:$U$322)=1,COUNTBLANK('Bid Sheet'!$W$322:$Z$322)=4),"",IF(OR(COUNTBLANK('Bid Sheet'!$R$322:$R$322)&gt;0,COUNTBLANK('Bid Sheet'!$X$322:$X$322)&gt;0, SUM(COUNTBLANK('Bid Sheet'!$D$3:$E$3), COUNTBLANK('Bid Sheet'!$D$4:$E$4), COUNTBLANK('Bid Sheet'!$D$5:$E$5), COUNTBLANK('Bid Sheet'!$D$6:$E$6), COUNTBLANK('Bid Sheet'!$D$7:$E$7))&gt;0), "No", "Yes"))</f>
        <v/>
      </c>
      <c r="B322" s="8"/>
      <c r="C322" s="8" t="s">
        <v>436</v>
      </c>
      <c r="D322" s="8" t="s">
        <v>533</v>
      </c>
      <c r="E322" s="8" t="s">
        <v>986</v>
      </c>
      <c r="F322" s="8" t="s">
        <v>992</v>
      </c>
      <c r="G322" s="8" t="s">
        <v>993</v>
      </c>
      <c r="H322" s="8" t="s">
        <v>994</v>
      </c>
      <c r="I322" s="8" t="s">
        <v>490</v>
      </c>
      <c r="J322" s="8" t="s">
        <v>491</v>
      </c>
      <c r="K322" s="8" t="s">
        <v>492</v>
      </c>
      <c r="L322" s="17">
        <v>1979</v>
      </c>
      <c r="M322" s="8" t="s">
        <v>496</v>
      </c>
      <c r="N322" s="8" t="s">
        <v>497</v>
      </c>
      <c r="O322" s="17">
        <v>515</v>
      </c>
      <c r="P322" s="17">
        <v>23</v>
      </c>
      <c r="Q322" s="18">
        <v>1.9</v>
      </c>
      <c r="R322" s="19"/>
      <c r="S322" s="8" t="s">
        <v>96</v>
      </c>
      <c r="T322" s="8" t="s">
        <v>501</v>
      </c>
      <c r="U322" s="10"/>
      <c r="V322" s="8"/>
      <c r="W322" s="10"/>
      <c r="X322" s="9"/>
      <c r="Y322" s="20"/>
      <c r="Z322" s="9"/>
    </row>
    <row r="323" spans="1:26" x14ac:dyDescent="0.25">
      <c r="A323" s="21" t="str">
        <f>IF(AND(COUNTBLANK('Bid Sheet'!$R$323:$R$323)=1,COUNTBLANK('Bid Sheet'!$U$323:$U$323)=1,COUNTBLANK('Bid Sheet'!$W$323:$Z$323)=4),"",IF(OR(COUNTBLANK('Bid Sheet'!$R$323:$R$323)&gt;0,COUNTBLANK('Bid Sheet'!$X$323:$X$323)&gt;0, SUM(COUNTBLANK('Bid Sheet'!$D$3:$E$3), COUNTBLANK('Bid Sheet'!$D$4:$E$4), COUNTBLANK('Bid Sheet'!$D$5:$E$5), COUNTBLANK('Bid Sheet'!$D$6:$E$6), COUNTBLANK('Bid Sheet'!$D$7:$E$7))&gt;0), "No", "Yes"))</f>
        <v/>
      </c>
      <c r="B323" s="21"/>
      <c r="C323" s="21" t="s">
        <v>437</v>
      </c>
      <c r="D323" s="21" t="s">
        <v>533</v>
      </c>
      <c r="E323" s="21" t="s">
        <v>986</v>
      </c>
      <c r="F323" s="21" t="s">
        <v>1048</v>
      </c>
      <c r="G323" s="21" t="s">
        <v>993</v>
      </c>
      <c r="H323" s="21" t="s">
        <v>994</v>
      </c>
      <c r="I323" s="21" t="s">
        <v>490</v>
      </c>
      <c r="J323" s="21" t="s">
        <v>491</v>
      </c>
      <c r="K323" s="21" t="s">
        <v>492</v>
      </c>
      <c r="L323" s="22">
        <v>1979</v>
      </c>
      <c r="M323" s="21" t="s">
        <v>496</v>
      </c>
      <c r="N323" s="21" t="s">
        <v>497</v>
      </c>
      <c r="O323" s="22">
        <v>517</v>
      </c>
      <c r="P323" s="22">
        <v>100</v>
      </c>
      <c r="Q323" s="23">
        <v>8.3000000000000007</v>
      </c>
      <c r="R323" s="24"/>
      <c r="S323" s="21" t="s">
        <v>96</v>
      </c>
      <c r="T323" s="21" t="s">
        <v>501</v>
      </c>
      <c r="U323" s="12"/>
      <c r="V323" s="21"/>
      <c r="W323" s="12"/>
      <c r="X323" s="11"/>
      <c r="Y323" s="25"/>
      <c r="Z323" s="11"/>
    </row>
    <row r="324" spans="1:26" x14ac:dyDescent="0.25">
      <c r="A324" s="8" t="str">
        <f>IF(AND(COUNTBLANK('Bid Sheet'!$R$324:$R$324)=1,COUNTBLANK('Bid Sheet'!$U$324:$U$324)=1,COUNTBLANK('Bid Sheet'!$W$324:$Z$324)=4),"",IF(OR(COUNTBLANK('Bid Sheet'!$R$324:$R$324)&gt;0,COUNTBLANK('Bid Sheet'!$X$324:$X$324)&gt;0, SUM(COUNTBLANK('Bid Sheet'!$D$3:$E$3), COUNTBLANK('Bid Sheet'!$D$4:$E$4), COUNTBLANK('Bid Sheet'!$D$5:$E$5), COUNTBLANK('Bid Sheet'!$D$6:$E$6), COUNTBLANK('Bid Sheet'!$D$7:$E$7))&gt;0), "No", "Yes"))</f>
        <v/>
      </c>
      <c r="B324" s="8"/>
      <c r="C324" s="8" t="s">
        <v>438</v>
      </c>
      <c r="D324" s="8" t="s">
        <v>533</v>
      </c>
      <c r="E324" s="8" t="s">
        <v>986</v>
      </c>
      <c r="F324" s="8" t="s">
        <v>992</v>
      </c>
      <c r="G324" s="8" t="s">
        <v>993</v>
      </c>
      <c r="H324" s="8" t="s">
        <v>994</v>
      </c>
      <c r="I324" s="8" t="s">
        <v>502</v>
      </c>
      <c r="J324" s="8" t="s">
        <v>995</v>
      </c>
      <c r="K324" s="8" t="s">
        <v>504</v>
      </c>
      <c r="L324" s="17">
        <v>2246</v>
      </c>
      <c r="M324" s="8" t="s">
        <v>496</v>
      </c>
      <c r="N324" s="8" t="s">
        <v>497</v>
      </c>
      <c r="O324" s="17">
        <v>240</v>
      </c>
      <c r="P324" s="17">
        <v>25</v>
      </c>
      <c r="Q324" s="18">
        <v>2.1</v>
      </c>
      <c r="R324" s="19"/>
      <c r="S324" s="8" t="s">
        <v>96</v>
      </c>
      <c r="T324" s="8" t="s">
        <v>501</v>
      </c>
      <c r="U324" s="10"/>
      <c r="V324" s="8"/>
      <c r="W324" s="10"/>
      <c r="X324" s="9"/>
      <c r="Y324" s="20"/>
      <c r="Z324" s="9"/>
    </row>
    <row r="325" spans="1:26" x14ac:dyDescent="0.25">
      <c r="A325" s="21" t="str">
        <f>IF(AND(COUNTBLANK('Bid Sheet'!$R$325:$R$325)=1,COUNTBLANK('Bid Sheet'!$U$325:$U$325)=1,COUNTBLANK('Bid Sheet'!$W$325:$Z$325)=4),"",IF(OR(COUNTBLANK('Bid Sheet'!$R$325:$R$325)&gt;0,COUNTBLANK('Bid Sheet'!$X$325:$X$325)&gt;0, SUM(COUNTBLANK('Bid Sheet'!$D$3:$E$3), COUNTBLANK('Bid Sheet'!$D$4:$E$4), COUNTBLANK('Bid Sheet'!$D$5:$E$5), COUNTBLANK('Bid Sheet'!$D$6:$E$6), COUNTBLANK('Bid Sheet'!$D$7:$E$7))&gt;0), "No", "Yes"))</f>
        <v/>
      </c>
      <c r="B325" s="21"/>
      <c r="C325" s="21" t="s">
        <v>439</v>
      </c>
      <c r="D325" s="21" t="s">
        <v>533</v>
      </c>
      <c r="E325" s="21" t="s">
        <v>986</v>
      </c>
      <c r="F325" s="21" t="s">
        <v>1048</v>
      </c>
      <c r="G325" s="21" t="s">
        <v>993</v>
      </c>
      <c r="H325" s="21" t="s">
        <v>994</v>
      </c>
      <c r="I325" s="21" t="s">
        <v>502</v>
      </c>
      <c r="J325" s="21" t="s">
        <v>995</v>
      </c>
      <c r="K325" s="21" t="s">
        <v>504</v>
      </c>
      <c r="L325" s="22">
        <v>2246</v>
      </c>
      <c r="M325" s="21" t="s">
        <v>496</v>
      </c>
      <c r="N325" s="21" t="s">
        <v>497</v>
      </c>
      <c r="O325" s="22">
        <v>237</v>
      </c>
      <c r="P325" s="22">
        <v>7</v>
      </c>
      <c r="Q325" s="23">
        <v>0.6</v>
      </c>
      <c r="R325" s="24"/>
      <c r="S325" s="21" t="s">
        <v>96</v>
      </c>
      <c r="T325" s="21" t="s">
        <v>501</v>
      </c>
      <c r="U325" s="12"/>
      <c r="V325" s="21"/>
      <c r="W325" s="12"/>
      <c r="X325" s="11"/>
      <c r="Y325" s="25"/>
      <c r="Z325" s="11"/>
    </row>
    <row r="326" spans="1:26" x14ac:dyDescent="0.25">
      <c r="A326" s="8" t="str">
        <f>IF(AND(COUNTBLANK('Bid Sheet'!$R$326:$R$326)=1,COUNTBLANK('Bid Sheet'!$U$326:$U$326)=1,COUNTBLANK('Bid Sheet'!$W$326:$Z$326)=4),"",IF(OR(COUNTBLANK('Bid Sheet'!$R$326:$R$326)&gt;0,COUNTBLANK('Bid Sheet'!$X$326:$X$326)&gt;0, SUM(COUNTBLANK('Bid Sheet'!$D$3:$E$3), COUNTBLANK('Bid Sheet'!$D$4:$E$4), COUNTBLANK('Bid Sheet'!$D$5:$E$5), COUNTBLANK('Bid Sheet'!$D$6:$E$6), COUNTBLANK('Bid Sheet'!$D$7:$E$7))&gt;0), "No", "Yes"))</f>
        <v/>
      </c>
      <c r="B326" s="8"/>
      <c r="C326" s="8" t="s">
        <v>440</v>
      </c>
      <c r="D326" s="8" t="s">
        <v>488</v>
      </c>
      <c r="E326" s="8" t="s">
        <v>489</v>
      </c>
      <c r="F326" s="8" t="s">
        <v>502</v>
      </c>
      <c r="G326" s="8" t="s">
        <v>503</v>
      </c>
      <c r="H326" s="8" t="s">
        <v>504</v>
      </c>
      <c r="I326" s="8" t="s">
        <v>584</v>
      </c>
      <c r="J326" s="8" t="s">
        <v>585</v>
      </c>
      <c r="K326" s="8" t="s">
        <v>579</v>
      </c>
      <c r="L326" s="17"/>
      <c r="M326" s="8" t="s">
        <v>496</v>
      </c>
      <c r="N326" s="8" t="s">
        <v>497</v>
      </c>
      <c r="O326" s="17"/>
      <c r="P326" s="17">
        <v>19</v>
      </c>
      <c r="Q326" s="18">
        <v>1.6</v>
      </c>
      <c r="R326" s="19"/>
      <c r="S326" s="8" t="s">
        <v>66</v>
      </c>
      <c r="T326" s="8"/>
      <c r="U326" s="10"/>
      <c r="V326" s="8"/>
      <c r="W326" s="10"/>
      <c r="X326" s="9"/>
      <c r="Y326" s="20"/>
      <c r="Z326" s="9"/>
    </row>
    <row r="327" spans="1:26" x14ac:dyDescent="0.25">
      <c r="A327" s="21" t="str">
        <f>IF(AND(COUNTBLANK('Bid Sheet'!$R$327:$R$327)=1,COUNTBLANK('Bid Sheet'!$U$327:$U$327)=1,COUNTBLANK('Bid Sheet'!$W$327:$Z$327)=4),"",IF(OR(COUNTBLANK('Bid Sheet'!$R$327:$R$327)&gt;0,COUNTBLANK('Bid Sheet'!$X$327:$X$327)&gt;0, SUM(COUNTBLANK('Bid Sheet'!$D$3:$E$3), COUNTBLANK('Bid Sheet'!$D$4:$E$4), COUNTBLANK('Bid Sheet'!$D$5:$E$5), COUNTBLANK('Bid Sheet'!$D$6:$E$6), COUNTBLANK('Bid Sheet'!$D$7:$E$7))&gt;0), "No", "Yes"))</f>
        <v/>
      </c>
      <c r="B327" s="21"/>
      <c r="C327" s="21" t="s">
        <v>441</v>
      </c>
      <c r="D327" s="21" t="s">
        <v>488</v>
      </c>
      <c r="E327" s="21" t="s">
        <v>489</v>
      </c>
      <c r="F327" s="21" t="s">
        <v>502</v>
      </c>
      <c r="G327" s="21" t="s">
        <v>503</v>
      </c>
      <c r="H327" s="21" t="s">
        <v>504</v>
      </c>
      <c r="I327" s="21" t="s">
        <v>591</v>
      </c>
      <c r="J327" s="21" t="s">
        <v>581</v>
      </c>
      <c r="K327" s="21" t="s">
        <v>579</v>
      </c>
      <c r="L327" s="22"/>
      <c r="M327" s="21" t="s">
        <v>496</v>
      </c>
      <c r="N327" s="21" t="s">
        <v>497</v>
      </c>
      <c r="O327" s="22"/>
      <c r="P327" s="22">
        <v>20</v>
      </c>
      <c r="Q327" s="23">
        <v>1.7</v>
      </c>
      <c r="R327" s="24"/>
      <c r="S327" s="21" t="s">
        <v>66</v>
      </c>
      <c r="T327" s="21"/>
      <c r="U327" s="12"/>
      <c r="V327" s="21"/>
      <c r="W327" s="12"/>
      <c r="X327" s="11"/>
      <c r="Y327" s="25"/>
      <c r="Z327" s="11"/>
    </row>
    <row r="328" spans="1:26" x14ac:dyDescent="0.25">
      <c r="A328" s="8" t="str">
        <f>IF(AND(COUNTBLANK('Bid Sheet'!$R$328:$R$328)=1,COUNTBLANK('Bid Sheet'!$U$328:$U$328)=1,COUNTBLANK('Bid Sheet'!$W$328:$Z$328)=4),"",IF(OR(COUNTBLANK('Bid Sheet'!$R$328:$R$328)&gt;0,COUNTBLANK('Bid Sheet'!$X$328:$X$328)&gt;0, SUM(COUNTBLANK('Bid Sheet'!$D$3:$E$3), COUNTBLANK('Bid Sheet'!$D$4:$E$4), COUNTBLANK('Bid Sheet'!$D$5:$E$5), COUNTBLANK('Bid Sheet'!$D$6:$E$6), COUNTBLANK('Bid Sheet'!$D$7:$E$7))&gt;0), "No", "Yes"))</f>
        <v/>
      </c>
      <c r="B328" s="8"/>
      <c r="C328" s="8" t="s">
        <v>442</v>
      </c>
      <c r="D328" s="8" t="s">
        <v>488</v>
      </c>
      <c r="E328" s="8" t="s">
        <v>489</v>
      </c>
      <c r="F328" s="8" t="s">
        <v>502</v>
      </c>
      <c r="G328" s="8" t="s">
        <v>503</v>
      </c>
      <c r="H328" s="8" t="s">
        <v>504</v>
      </c>
      <c r="I328" s="8" t="s">
        <v>599</v>
      </c>
      <c r="J328" s="8" t="s">
        <v>600</v>
      </c>
      <c r="K328" s="8" t="s">
        <v>579</v>
      </c>
      <c r="L328" s="17"/>
      <c r="M328" s="8" t="s">
        <v>496</v>
      </c>
      <c r="N328" s="8" t="s">
        <v>497</v>
      </c>
      <c r="O328" s="17"/>
      <c r="P328" s="17">
        <v>28</v>
      </c>
      <c r="Q328" s="18">
        <v>2.2999999999999998</v>
      </c>
      <c r="R328" s="19"/>
      <c r="S328" s="8" t="s">
        <v>66</v>
      </c>
      <c r="T328" s="8"/>
      <c r="U328" s="10"/>
      <c r="V328" s="8"/>
      <c r="W328" s="10"/>
      <c r="X328" s="9"/>
      <c r="Y328" s="20"/>
      <c r="Z328" s="9"/>
    </row>
    <row r="329" spans="1:26" x14ac:dyDescent="0.25">
      <c r="A329" s="21" t="str">
        <f>IF(AND(COUNTBLANK('Bid Sheet'!$R$329:$R$329)=1,COUNTBLANK('Bid Sheet'!$U$329:$U$329)=1,COUNTBLANK('Bid Sheet'!$W$329:$Z$329)=4),"",IF(OR(COUNTBLANK('Bid Sheet'!$R$329:$R$329)&gt;0,COUNTBLANK('Bid Sheet'!$X$329:$X$329)&gt;0, SUM(COUNTBLANK('Bid Sheet'!$D$3:$E$3), COUNTBLANK('Bid Sheet'!$D$4:$E$4), COUNTBLANK('Bid Sheet'!$D$5:$E$5), COUNTBLANK('Bid Sheet'!$D$6:$E$6), COUNTBLANK('Bid Sheet'!$D$7:$E$7))&gt;0), "No", "Yes"))</f>
        <v/>
      </c>
      <c r="B329" s="21"/>
      <c r="C329" s="21" t="s">
        <v>443</v>
      </c>
      <c r="D329" s="21" t="s">
        <v>488</v>
      </c>
      <c r="E329" s="21" t="s">
        <v>489</v>
      </c>
      <c r="F329" s="21" t="s">
        <v>502</v>
      </c>
      <c r="G329" s="21" t="s">
        <v>503</v>
      </c>
      <c r="H329" s="21" t="s">
        <v>504</v>
      </c>
      <c r="I329" s="21" t="s">
        <v>601</v>
      </c>
      <c r="J329" s="21" t="s">
        <v>600</v>
      </c>
      <c r="K329" s="21" t="s">
        <v>579</v>
      </c>
      <c r="L329" s="22"/>
      <c r="M329" s="21" t="s">
        <v>496</v>
      </c>
      <c r="N329" s="21" t="s">
        <v>497</v>
      </c>
      <c r="O329" s="22"/>
      <c r="P329" s="22">
        <v>24</v>
      </c>
      <c r="Q329" s="23">
        <v>2</v>
      </c>
      <c r="R329" s="24"/>
      <c r="S329" s="21" t="s">
        <v>66</v>
      </c>
      <c r="T329" s="21"/>
      <c r="U329" s="12"/>
      <c r="V329" s="21"/>
      <c r="W329" s="12"/>
      <c r="X329" s="11"/>
      <c r="Y329" s="25"/>
      <c r="Z329" s="11"/>
    </row>
    <row r="330" spans="1:26" x14ac:dyDescent="0.25">
      <c r="A330" s="8" t="str">
        <f>IF(AND(COUNTBLANK('Bid Sheet'!$R$330:$R$330)=1,COUNTBLANK('Bid Sheet'!$U$330:$U$330)=1,COUNTBLANK('Bid Sheet'!$W$330:$Z$330)=4),"",IF(OR(COUNTBLANK('Bid Sheet'!$R$330:$R$330)&gt;0,COUNTBLANK('Bid Sheet'!$X$330:$X$330)&gt;0, SUM(COUNTBLANK('Bid Sheet'!$D$3:$E$3), COUNTBLANK('Bid Sheet'!$D$4:$E$4), COUNTBLANK('Bid Sheet'!$D$5:$E$5), COUNTBLANK('Bid Sheet'!$D$6:$E$6), COUNTBLANK('Bid Sheet'!$D$7:$E$7))&gt;0), "No", "Yes"))</f>
        <v/>
      </c>
      <c r="B330" s="8"/>
      <c r="C330" s="8" t="s">
        <v>444</v>
      </c>
      <c r="D330" s="8" t="s">
        <v>488</v>
      </c>
      <c r="E330" s="8" t="s">
        <v>489</v>
      </c>
      <c r="F330" s="8" t="s">
        <v>502</v>
      </c>
      <c r="G330" s="8" t="s">
        <v>503</v>
      </c>
      <c r="H330" s="8" t="s">
        <v>504</v>
      </c>
      <c r="I330" s="8" t="s">
        <v>608</v>
      </c>
      <c r="J330" s="8" t="s">
        <v>607</v>
      </c>
      <c r="K330" s="8" t="s">
        <v>579</v>
      </c>
      <c r="L330" s="17"/>
      <c r="M330" s="8" t="s">
        <v>496</v>
      </c>
      <c r="N330" s="8" t="s">
        <v>497</v>
      </c>
      <c r="O330" s="17"/>
      <c r="P330" s="17">
        <v>24</v>
      </c>
      <c r="Q330" s="18">
        <v>2</v>
      </c>
      <c r="R330" s="19"/>
      <c r="S330" s="8" t="s">
        <v>66</v>
      </c>
      <c r="T330" s="8"/>
      <c r="U330" s="10"/>
      <c r="V330" s="8"/>
      <c r="W330" s="10"/>
      <c r="X330" s="9"/>
      <c r="Y330" s="20"/>
      <c r="Z330" s="9"/>
    </row>
  </sheetData>
  <sheetProtection password="C93C" sheet="1" formatCells="0" formatColumns="0" formatRows="0" autoFilter="0"/>
  <autoFilter ref="A9:Z330" xr:uid="{00000000-0009-0000-0000-000002000000}"/>
  <mergeCells count="6">
    <mergeCell ref="A7:C7"/>
    <mergeCell ref="A1:Z1"/>
    <mergeCell ref="A3:C3"/>
    <mergeCell ref="A4:C4"/>
    <mergeCell ref="A5:C5"/>
    <mergeCell ref="A6:C6"/>
  </mergeCells>
  <conditionalFormatting sqref="A11:A330">
    <cfRule type="containsText" dxfId="1" priority="1" operator="containsText" text="Yes">
      <formula>NOT(ISERROR(SEARCH("Yes",A11)))</formula>
    </cfRule>
    <cfRule type="containsText" dxfId="0" priority="2" operator="containsText" text="No">
      <formula>NOT(ISERROR(SEARCH("No",A11)))</formula>
    </cfRule>
  </conditionalFormatting>
  <dataValidations count="2">
    <dataValidation type="list" allowBlank="1" showInputMessage="1" showErrorMessage="1" errorTitle="Invalid Input" error="Please select a value from the drop down provided." sqref="D3:D7" xr:uid="{00000000-0002-0000-0200-000000000000}">
      <formula1>"USD, CAD"</formula1>
    </dataValidation>
    <dataValidation type="decimal" operator="greaterThanOrEqual" allowBlank="1" showInputMessage="1" showErrorMessage="1" errorTitle="Error" error="Please enter a decimal number." sqref="W12:W330 U12:U330 R12:R330 E3:E7" xr:uid="{00000000-0002-0000-0200-000001000000}">
      <formula1>-10000000000000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Input" error="Please select a value from the drop down provided." xr:uid="{00000000-0002-0000-0200-00000D000000}">
          <x14:formula1>
            <xm:f>ReferenceData!$F$1:$F$2</xm:f>
          </x14:formula1>
          <xm:sqref>X12:X330</xm:sqref>
        </x14:dataValidation>
        <x14:dataValidation type="list" allowBlank="1" showInputMessage="1" showErrorMessage="1" errorTitle="Invalid Input" error="Please select a value from the drop down provided." xr:uid="{00000000-0002-0000-0200-00000E000000}">
          <x14:formula1>
            <xm:f>ReferenceData!$G$1:$G$31</xm:f>
          </x14:formula1>
          <xm:sqref>Y12:Y330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43</vt:i4>
      </vt:variant>
    </vt:vector>
  </HeadingPairs>
  <TitlesOfParts>
    <vt:vector size="46" baseType="lpstr">
      <vt:lpstr>Overview</vt:lpstr>
      <vt:lpstr>ReferenceData</vt:lpstr>
      <vt:lpstr>Bid Sheet</vt:lpstr>
      <vt:lpstr>BID_INPUT_ASSET_BROKER_47c6c907</vt:lpstr>
      <vt:lpstr>BID_INPUT_BIDDER_MONTHLY_MAXIMUM_CAPACITY_5c7305b9</vt:lpstr>
      <vt:lpstr>BID_INPUT_CARRIER_NOTES_0142724f</vt:lpstr>
      <vt:lpstr>BID_INPUT_LINEHAUL_COST_DROP_TRAILER_af32aa1e</vt:lpstr>
      <vt:lpstr>BID_INPUT_LINEHAUL_COST_LIVE_LOAD_f8512053</vt:lpstr>
      <vt:lpstr>BID_INPUT_TRAFFIC_LIGHT_60b1fce8</vt:lpstr>
      <vt:lpstr>BID_INPUT_TRANSIT_TIME_IN_DAYS_2d28fb03</vt:lpstr>
      <vt:lpstr>BIDSHEET_VERSION</vt:lpstr>
      <vt:lpstr>CURRENCY_CAD</vt:lpstr>
      <vt:lpstr>CURRENCY_CODES</vt:lpstr>
      <vt:lpstr>CURRENCY_USD</vt:lpstr>
      <vt:lpstr>GLOBAL_INPUT_DETENTION_HR_AFTER_2_FREE_HOURS_3aa68460</vt:lpstr>
      <vt:lpstr>GLOBAL_INPUT_DETENTION_HR_AFTER_2_FREE_HOURS_CURRENCY_3aa68460</vt:lpstr>
      <vt:lpstr>GLOBAL_INPUT_LAYOVER_OCCURRENCE_712ff282</vt:lpstr>
      <vt:lpstr>GLOBAL_INPUT_LAYOVER_OCCURRENCE_CURRENCY_712ff282</vt:lpstr>
      <vt:lpstr>GLOBAL_INPUT_LUMPER_OCCURRENCE_c090d7ec</vt:lpstr>
      <vt:lpstr>GLOBAL_INPUT_LUMPER_OCCURRENCE_CURRENCY_c090d7ec</vt:lpstr>
      <vt:lpstr>GLOBAL_INPUT_STOP_OFF_CHARGE_STOP_LOCATION_FEE_68c87fb5</vt:lpstr>
      <vt:lpstr>GLOBAL_INPUT_STOP_OFF_CHARGE_STOP_LOCATION_FEE_CURRENCY_68c87fb5</vt:lpstr>
      <vt:lpstr>GLOBAL_INPUT_TONU_OCCURRENCE_CURRENCY_ed42e12d</vt:lpstr>
      <vt:lpstr>GLOBAL_INPUT_TONU_OCCURRENCE_ed42e12d</vt:lpstr>
      <vt:lpstr>OPTIONS_ASSET_BROKER_47c6c907</vt:lpstr>
      <vt:lpstr>OPTIONS_CURRENCY_REQUIRED_07aaceaf</vt:lpstr>
      <vt:lpstr>OPTIONS_TRANSIT_TIME_IN_DAYS_2d28fb03</vt:lpstr>
      <vt:lpstr>STATIC_AMBIENT_OR_REFRIGERATED_c797d6f0</vt:lpstr>
      <vt:lpstr>STATIC_CATEGORY_a3c686e7</vt:lpstr>
      <vt:lpstr>STATIC_COUNTRY_d523ebbd</vt:lpstr>
      <vt:lpstr>STATIC_CURRENCY_REQUIRED_07aaceaf</vt:lpstr>
      <vt:lpstr>STATIC_DESTINATION_CITY_10ed4177</vt:lpstr>
      <vt:lpstr>STATIC_DESTINATION_STATE_8db5bcf7</vt:lpstr>
      <vt:lpstr>STATIC_DESTINATION_ZIP_CODE_256e1963</vt:lpstr>
      <vt:lpstr>STATIC_DISTANCE_M_9e41120d</vt:lpstr>
      <vt:lpstr>STATIC_FORECASTED_VOLUME_2026_2e8fc2f2</vt:lpstr>
      <vt:lpstr>STATIC_FUEL_ESTIMATE_USD_52da20b1</vt:lpstr>
      <vt:lpstr>STATIC_KEY_dd65c1b4</vt:lpstr>
      <vt:lpstr>STATIC_LOADING_DROP_2e8f8eea</vt:lpstr>
      <vt:lpstr>STATIC_LOADING_LIVE_33af13c2</vt:lpstr>
      <vt:lpstr>STATIC_MONTHLY_FORECAST_VOLUME_710d40f7</vt:lpstr>
      <vt:lpstr>STATIC_ORIGIN_CITY_f11c71d7</vt:lpstr>
      <vt:lpstr>STATIC_ORIGIN_STATE_e60af2b7</vt:lpstr>
      <vt:lpstr>STATIC_ORIGIN_ZIP_f8693c5b</vt:lpstr>
      <vt:lpstr>STATIC_TRANSPORTATION_MODE_1d2d5bc7</vt:lpstr>
      <vt:lpstr>VALIDATION_LOT_IDENTIFIER_RANGE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Clinton Waters</cp:lastModifiedBy>
  <cp:revision/>
  <dcterms:created xsi:type="dcterms:W3CDTF">2026-03-26T11:58:14Z</dcterms:created>
  <dcterms:modified xsi:type="dcterms:W3CDTF">2026-03-31T17:23:22Z</dcterms:modified>
  <cp:category/>
  <cp:contentStatus/>
</cp:coreProperties>
</file>