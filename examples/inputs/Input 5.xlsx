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waters\Downloads\"/>
    </mc:Choice>
  </mc:AlternateContent>
  <xr:revisionPtr revIDLastSave="0" documentId="13_ncr:1_{397D3376-E10E-4657-A979-B47CB24AD529}" xr6:coauthVersionLast="47" xr6:coauthVersionMax="47" xr10:uidLastSave="{00000000-0000-0000-0000-000000000000}"/>
  <bookViews>
    <workbookView xWindow="-120" yWindow="-120" windowWidth="29040" windowHeight="15720" xr2:uid="{73EE5FAC-48A3-4F06-965B-8430AB813AE3}"/>
  </bookViews>
  <sheets>
    <sheet name="Group Truckload Bid Sheet" sheetId="1" r:id="rId1"/>
  </sheets>
  <definedNames>
    <definedName name="_xlnm._FilterDatabase" localSheetId="0" hidden="1">'Group Truckload Bid Sheet'!$A$2:$FM$179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78" i="1" l="1"/>
  <c r="M178" i="1"/>
  <c r="L177" i="1"/>
  <c r="M177" i="1"/>
  <c r="L176" i="1"/>
  <c r="M176" i="1"/>
  <c r="L175" i="1"/>
  <c r="M175" i="1"/>
  <c r="L174" i="1"/>
  <c r="M174" i="1"/>
  <c r="L173" i="1"/>
  <c r="M173" i="1"/>
  <c r="L172" i="1"/>
  <c r="M172" i="1"/>
  <c r="L171" i="1"/>
  <c r="M171" i="1"/>
  <c r="L170" i="1"/>
  <c r="M170" i="1"/>
  <c r="L169" i="1"/>
  <c r="M169" i="1"/>
  <c r="L168" i="1"/>
  <c r="M168" i="1"/>
  <c r="L167" i="1"/>
  <c r="M167" i="1"/>
  <c r="L166" i="1"/>
  <c r="M166" i="1"/>
  <c r="L165" i="1"/>
  <c r="M165" i="1"/>
  <c r="L164" i="1"/>
  <c r="M164" i="1"/>
  <c r="L163" i="1"/>
  <c r="M163" i="1"/>
  <c r="L162" i="1"/>
  <c r="M162" i="1"/>
  <c r="L161" i="1"/>
  <c r="M161" i="1"/>
  <c r="L160" i="1"/>
  <c r="M160" i="1"/>
  <c r="L159" i="1"/>
  <c r="M159" i="1"/>
  <c r="L158" i="1"/>
  <c r="M158" i="1"/>
  <c r="L157" i="1"/>
  <c r="M157" i="1"/>
  <c r="L156" i="1"/>
  <c r="M156" i="1"/>
  <c r="L155" i="1"/>
  <c r="M155" i="1"/>
  <c r="L154" i="1"/>
  <c r="M154" i="1"/>
  <c r="L153" i="1"/>
  <c r="M153" i="1"/>
  <c r="L152" i="1"/>
  <c r="M152" i="1"/>
  <c r="L151" i="1"/>
  <c r="M151" i="1"/>
  <c r="L150" i="1"/>
  <c r="M150" i="1"/>
  <c r="L149" i="1"/>
  <c r="M149" i="1"/>
  <c r="L148" i="1"/>
  <c r="M148" i="1"/>
  <c r="L147" i="1"/>
  <c r="M147" i="1"/>
  <c r="L146" i="1"/>
  <c r="M146" i="1"/>
  <c r="L145" i="1"/>
  <c r="M145" i="1"/>
  <c r="L144" i="1"/>
  <c r="M144" i="1"/>
  <c r="L143" i="1"/>
  <c r="M143" i="1"/>
  <c r="L142" i="1"/>
  <c r="M142" i="1"/>
  <c r="L141" i="1"/>
  <c r="M141" i="1"/>
  <c r="L140" i="1"/>
  <c r="M140" i="1"/>
  <c r="L139" i="1"/>
  <c r="M139" i="1"/>
  <c r="L138" i="1"/>
  <c r="M138" i="1"/>
  <c r="L137" i="1"/>
  <c r="M137" i="1"/>
  <c r="L136" i="1"/>
  <c r="M136" i="1"/>
  <c r="L135" i="1"/>
  <c r="M135" i="1"/>
  <c r="L134" i="1"/>
  <c r="M134" i="1"/>
  <c r="L133" i="1"/>
  <c r="M133" i="1"/>
  <c r="L132" i="1"/>
  <c r="M132" i="1"/>
  <c r="L131" i="1"/>
  <c r="M131" i="1"/>
  <c r="L130" i="1"/>
  <c r="M130" i="1"/>
  <c r="L129" i="1"/>
  <c r="M129" i="1"/>
  <c r="L128" i="1"/>
  <c r="M128" i="1"/>
  <c r="L127" i="1"/>
  <c r="M127" i="1"/>
  <c r="L126" i="1"/>
  <c r="M126" i="1"/>
  <c r="L125" i="1"/>
  <c r="M125" i="1"/>
  <c r="L124" i="1"/>
  <c r="M124" i="1"/>
  <c r="L123" i="1"/>
  <c r="M123" i="1"/>
  <c r="L122" i="1"/>
  <c r="M122" i="1"/>
  <c r="L121" i="1"/>
  <c r="M121" i="1"/>
  <c r="L120" i="1"/>
  <c r="M120" i="1"/>
  <c r="L119" i="1"/>
  <c r="M119" i="1"/>
  <c r="L118" i="1"/>
  <c r="M118" i="1"/>
  <c r="L117" i="1"/>
  <c r="M117" i="1"/>
  <c r="L116" i="1"/>
  <c r="M116" i="1"/>
  <c r="L115" i="1"/>
  <c r="M115" i="1"/>
  <c r="L114" i="1"/>
  <c r="M114" i="1"/>
  <c r="L113" i="1"/>
  <c r="M113" i="1"/>
  <c r="L112" i="1"/>
  <c r="M112" i="1"/>
  <c r="L111" i="1"/>
  <c r="M111" i="1"/>
  <c r="L110" i="1"/>
  <c r="M110" i="1"/>
  <c r="L109" i="1"/>
  <c r="M109" i="1"/>
  <c r="L108" i="1"/>
  <c r="M108" i="1"/>
  <c r="L107" i="1"/>
  <c r="M107" i="1"/>
  <c r="L106" i="1"/>
  <c r="M106" i="1"/>
  <c r="L105" i="1"/>
  <c r="M105" i="1"/>
  <c r="L104" i="1"/>
  <c r="M104" i="1"/>
  <c r="L103" i="1"/>
  <c r="M103" i="1"/>
  <c r="L102" i="1"/>
  <c r="M102" i="1"/>
  <c r="L101" i="1"/>
  <c r="M101" i="1"/>
  <c r="L100" i="1"/>
  <c r="M100" i="1"/>
  <c r="L99" i="1"/>
  <c r="M99" i="1"/>
  <c r="L98" i="1"/>
  <c r="M98" i="1"/>
  <c r="L97" i="1"/>
  <c r="M97" i="1"/>
  <c r="L96" i="1"/>
  <c r="M96" i="1"/>
  <c r="L95" i="1"/>
  <c r="M95" i="1"/>
  <c r="L94" i="1"/>
  <c r="M94" i="1"/>
  <c r="L93" i="1"/>
  <c r="M93" i="1"/>
  <c r="L92" i="1"/>
  <c r="M92" i="1"/>
  <c r="L91" i="1"/>
  <c r="M91" i="1"/>
  <c r="L90" i="1"/>
  <c r="M90" i="1"/>
  <c r="L89" i="1"/>
  <c r="M89" i="1"/>
  <c r="L88" i="1"/>
  <c r="M88" i="1"/>
  <c r="L87" i="1"/>
  <c r="M87" i="1"/>
  <c r="L86" i="1"/>
  <c r="M86" i="1"/>
  <c r="L85" i="1"/>
  <c r="M85" i="1"/>
  <c r="L84" i="1"/>
  <c r="M84" i="1"/>
  <c r="L83" i="1"/>
  <c r="M83" i="1"/>
  <c r="L82" i="1"/>
  <c r="M82" i="1"/>
  <c r="L81" i="1"/>
  <c r="M81" i="1"/>
  <c r="L80" i="1"/>
  <c r="M80" i="1"/>
  <c r="L79" i="1"/>
  <c r="M79" i="1"/>
  <c r="L78" i="1"/>
  <c r="M78" i="1"/>
  <c r="L77" i="1"/>
  <c r="M77" i="1"/>
  <c r="L76" i="1"/>
  <c r="M76" i="1"/>
  <c r="L75" i="1"/>
  <c r="M75" i="1"/>
  <c r="L74" i="1"/>
  <c r="M74" i="1"/>
  <c r="L73" i="1"/>
  <c r="M73" i="1"/>
  <c r="L72" i="1"/>
  <c r="M72" i="1"/>
  <c r="L71" i="1"/>
  <c r="M71" i="1"/>
  <c r="L70" i="1"/>
  <c r="M70" i="1"/>
  <c r="L69" i="1"/>
  <c r="M69" i="1"/>
  <c r="L68" i="1"/>
  <c r="M68" i="1"/>
  <c r="L67" i="1"/>
  <c r="M67" i="1"/>
  <c r="L66" i="1"/>
  <c r="M66" i="1"/>
  <c r="L65" i="1"/>
  <c r="M65" i="1"/>
  <c r="L64" i="1"/>
  <c r="M64" i="1"/>
  <c r="L63" i="1"/>
  <c r="M63" i="1"/>
  <c r="L62" i="1"/>
  <c r="M62" i="1"/>
  <c r="L61" i="1"/>
  <c r="M61" i="1"/>
  <c r="L60" i="1"/>
  <c r="M60" i="1"/>
  <c r="L59" i="1"/>
  <c r="M59" i="1"/>
  <c r="L58" i="1"/>
  <c r="M58" i="1"/>
  <c r="L57" i="1"/>
  <c r="M57" i="1"/>
  <c r="L56" i="1"/>
  <c r="M56" i="1"/>
  <c r="L55" i="1"/>
  <c r="M55" i="1"/>
  <c r="L54" i="1"/>
  <c r="M54" i="1"/>
  <c r="L53" i="1"/>
  <c r="M53" i="1"/>
  <c r="L52" i="1"/>
  <c r="M52" i="1"/>
  <c r="L51" i="1"/>
  <c r="M51" i="1"/>
  <c r="L50" i="1"/>
  <c r="M50" i="1"/>
  <c r="L49" i="1"/>
  <c r="M49" i="1"/>
  <c r="L48" i="1"/>
  <c r="M48" i="1"/>
  <c r="L47" i="1"/>
  <c r="M47" i="1"/>
  <c r="L46" i="1"/>
  <c r="M46" i="1"/>
  <c r="L45" i="1"/>
  <c r="M45" i="1"/>
  <c r="L44" i="1"/>
  <c r="M44" i="1"/>
  <c r="L43" i="1"/>
  <c r="M43" i="1"/>
  <c r="L42" i="1"/>
  <c r="M42" i="1"/>
  <c r="L41" i="1"/>
  <c r="M41" i="1"/>
  <c r="L40" i="1"/>
  <c r="M40" i="1"/>
  <c r="L39" i="1"/>
  <c r="M39" i="1"/>
  <c r="L38" i="1"/>
  <c r="M38" i="1"/>
  <c r="L37" i="1"/>
  <c r="M37" i="1"/>
  <c r="L36" i="1"/>
  <c r="M36" i="1"/>
  <c r="L35" i="1"/>
  <c r="M35" i="1"/>
  <c r="L34" i="1"/>
  <c r="M34" i="1"/>
  <c r="L33" i="1"/>
  <c r="M33" i="1"/>
  <c r="L32" i="1"/>
  <c r="M32" i="1"/>
  <c r="L31" i="1"/>
  <c r="M31" i="1"/>
  <c r="L30" i="1"/>
  <c r="M30" i="1"/>
  <c r="L29" i="1"/>
  <c r="M29" i="1"/>
  <c r="L28" i="1"/>
  <c r="M28" i="1"/>
  <c r="L27" i="1"/>
  <c r="M27" i="1"/>
  <c r="L26" i="1"/>
  <c r="M26" i="1"/>
  <c r="L25" i="1"/>
  <c r="M25" i="1"/>
  <c r="L24" i="1"/>
  <c r="M24" i="1"/>
  <c r="L23" i="1"/>
  <c r="M23" i="1"/>
  <c r="L22" i="1"/>
  <c r="M22" i="1"/>
  <c r="L21" i="1"/>
  <c r="M21" i="1"/>
  <c r="L20" i="1"/>
  <c r="M20" i="1"/>
  <c r="L19" i="1"/>
  <c r="M19" i="1"/>
  <c r="L18" i="1"/>
  <c r="M18" i="1"/>
  <c r="L17" i="1"/>
  <c r="M17" i="1"/>
  <c r="L16" i="1"/>
  <c r="M16" i="1"/>
  <c r="L15" i="1"/>
  <c r="M15" i="1"/>
  <c r="L14" i="1"/>
  <c r="M14" i="1"/>
  <c r="L13" i="1"/>
  <c r="M13" i="1"/>
  <c r="L12" i="1"/>
  <c r="M12" i="1"/>
  <c r="L11" i="1"/>
  <c r="M11" i="1"/>
  <c r="L10" i="1"/>
  <c r="M10" i="1"/>
  <c r="L9" i="1"/>
  <c r="M9" i="1"/>
  <c r="L8" i="1"/>
  <c r="M8" i="1"/>
  <c r="L7" i="1"/>
  <c r="M7" i="1"/>
  <c r="L6" i="1"/>
  <c r="M6" i="1"/>
  <c r="L5" i="1"/>
  <c r="M5" i="1"/>
  <c r="L4" i="1"/>
  <c r="M4" i="1"/>
  <c r="L3" i="1"/>
  <c r="M3" i="1"/>
  <c r="L2" i="1"/>
  <c r="M2" i="1"/>
  <c r="K180" i="1"/>
  <c r="M180" i="1"/>
  <c r="L180" i="1"/>
</calcChain>
</file>

<file path=xl/sharedStrings.xml><?xml version="1.0" encoding="utf-8"?>
<sst xmlns="http://schemas.openxmlformats.org/spreadsheetml/2006/main" count="1142" uniqueCount="192">
  <si>
    <t>ship from zip</t>
  </si>
  <si>
    <t>ship from city</t>
  </si>
  <si>
    <t>ship from state</t>
  </si>
  <si>
    <t>ship to zip</t>
  </si>
  <si>
    <t>ship to city</t>
  </si>
  <si>
    <t>ship to state</t>
  </si>
  <si>
    <t>annual moves**</t>
  </si>
  <si>
    <t>commodity</t>
  </si>
  <si>
    <t>mileage</t>
  </si>
  <si>
    <t>transit time in days</t>
  </si>
  <si>
    <t>Rate Per Mile</t>
  </si>
  <si>
    <t>total rate milage</t>
  </si>
  <si>
    <t>total per year</t>
  </si>
  <si>
    <t>29625</t>
  </si>
  <si>
    <t>Anderson</t>
  </si>
  <si>
    <t>SC</t>
  </si>
  <si>
    <t>37771</t>
  </si>
  <si>
    <t>Lenoir City</t>
  </si>
  <si>
    <t>TN</t>
  </si>
  <si>
    <t>auto parts</t>
  </si>
  <si>
    <t>20147</t>
  </si>
  <si>
    <t>Ashburn</t>
  </si>
  <si>
    <t>VA</t>
  </si>
  <si>
    <t>08512</t>
  </si>
  <si>
    <t>Cranbury</t>
  </si>
  <si>
    <t>NJ</t>
  </si>
  <si>
    <t>35611</t>
  </si>
  <si>
    <t>Athens</t>
  </si>
  <si>
    <t>AL</t>
  </si>
  <si>
    <t>48126</t>
  </si>
  <si>
    <t>Dearborn</t>
  </si>
  <si>
    <t>MI</t>
  </si>
  <si>
    <t>Atlanta</t>
  </si>
  <si>
    <t>GA</t>
  </si>
  <si>
    <t>Auburn</t>
  </si>
  <si>
    <t>49037</t>
  </si>
  <si>
    <t>Battle Creek</t>
  </si>
  <si>
    <t>Benicia</t>
  </si>
  <si>
    <t>CA</t>
  </si>
  <si>
    <t>32226</t>
  </si>
  <si>
    <t>Jacksonville</t>
  </si>
  <si>
    <t>fl</t>
  </si>
  <si>
    <t>National City</t>
  </si>
  <si>
    <t>60440</t>
  </si>
  <si>
    <t>Bolingbrook</t>
  </si>
  <si>
    <t>IL</t>
  </si>
  <si>
    <t>21219</t>
  </si>
  <si>
    <t>Baltimore</t>
  </si>
  <si>
    <t>MD</t>
  </si>
  <si>
    <t>76052</t>
  </si>
  <si>
    <t>Haslet</t>
  </si>
  <si>
    <t>TX</t>
  </si>
  <si>
    <t>Pleasant Prairie</t>
  </si>
  <si>
    <t>WI</t>
  </si>
  <si>
    <t>48116</t>
  </si>
  <si>
    <t>Brighton</t>
  </si>
  <si>
    <t>FL</t>
  </si>
  <si>
    <t>91761</t>
  </si>
  <si>
    <t>Ontario</t>
  </si>
  <si>
    <t>53158</t>
  </si>
  <si>
    <t>95765</t>
  </si>
  <si>
    <t>Rocklin</t>
  </si>
  <si>
    <t>Buford</t>
  </si>
  <si>
    <t>Chattanooga</t>
  </si>
  <si>
    <t>76065</t>
  </si>
  <si>
    <t>Midlothian</t>
  </si>
  <si>
    <t>02852</t>
  </si>
  <si>
    <t>North Kingstown</t>
  </si>
  <si>
    <t>RI</t>
  </si>
  <si>
    <t>30117</t>
  </si>
  <si>
    <t>Carrollton</t>
  </si>
  <si>
    <t>Carson</t>
  </si>
  <si>
    <t>37421</t>
  </si>
  <si>
    <t>37421/37416</t>
  </si>
  <si>
    <t>Riverside</t>
  </si>
  <si>
    <t>MO</t>
  </si>
  <si>
    <t>60085</t>
  </si>
  <si>
    <t>Waukegan</t>
  </si>
  <si>
    <t>Westfield</t>
  </si>
  <si>
    <t>MA</t>
  </si>
  <si>
    <t>37716</t>
  </si>
  <si>
    <t>Clinton</t>
  </si>
  <si>
    <t>30014</t>
  </si>
  <si>
    <t>Covington</t>
  </si>
  <si>
    <t>Cookeville</t>
  </si>
  <si>
    <t>94510</t>
  </si>
  <si>
    <t>37416</t>
  </si>
  <si>
    <t>77029</t>
  </si>
  <si>
    <t>Houston</t>
  </si>
  <si>
    <t>91950</t>
  </si>
  <si>
    <t>77507</t>
  </si>
  <si>
    <t>Pasadena</t>
  </si>
  <si>
    <t>44149</t>
  </si>
  <si>
    <t>Strongsville</t>
  </si>
  <si>
    <t>OH</t>
  </si>
  <si>
    <t>35055</t>
  </si>
  <si>
    <t>Cullman</t>
  </si>
  <si>
    <t>30721</t>
  </si>
  <si>
    <t>Dalton</t>
  </si>
  <si>
    <t>29334</t>
  </si>
  <si>
    <t>Duncan</t>
  </si>
  <si>
    <t>79927</t>
  </si>
  <si>
    <t>El Paso</t>
  </si>
  <si>
    <t>Elkhart</t>
  </si>
  <si>
    <t>IN</t>
  </si>
  <si>
    <t>41042</t>
  </si>
  <si>
    <t>Florence</t>
  </si>
  <si>
    <t>KY</t>
  </si>
  <si>
    <t>29644</t>
  </si>
  <si>
    <t>Fountain Inn</t>
  </si>
  <si>
    <t>48836</t>
  </si>
  <si>
    <t>Fowlerville</t>
  </si>
  <si>
    <t>Frankfort</t>
  </si>
  <si>
    <t>35904</t>
  </si>
  <si>
    <t>Gadsden</t>
  </si>
  <si>
    <t>37066</t>
  </si>
  <si>
    <t>Gallatin</t>
  </si>
  <si>
    <t>11788</t>
  </si>
  <si>
    <t>Hauppauge</t>
  </si>
  <si>
    <t>NY</t>
  </si>
  <si>
    <t>Homer</t>
  </si>
  <si>
    <t>Hopkinsville</t>
  </si>
  <si>
    <t>Auburn Hills</t>
  </si>
  <si>
    <t>45424</t>
  </si>
  <si>
    <t>Huber Heights</t>
  </si>
  <si>
    <t>32219</t>
  </si>
  <si>
    <t>97035</t>
  </si>
  <si>
    <t>Lake Oswego</t>
  </si>
  <si>
    <t>OR</t>
  </si>
  <si>
    <t>La Porte</t>
  </si>
  <si>
    <t>30046</t>
  </si>
  <si>
    <t>Lawrenceville</t>
  </si>
  <si>
    <t>floormats</t>
  </si>
  <si>
    <t>37090</t>
  </si>
  <si>
    <t>Lebanon</t>
  </si>
  <si>
    <t>Livonia</t>
  </si>
  <si>
    <t>40223</t>
  </si>
  <si>
    <t>Louisville</t>
  </si>
  <si>
    <t>Marysville</t>
  </si>
  <si>
    <t>37353</t>
  </si>
  <si>
    <t>Mc Donald</t>
  </si>
  <si>
    <t>Milford</t>
  </si>
  <si>
    <t>CT</t>
  </si>
  <si>
    <t>Aurora</t>
  </si>
  <si>
    <t>CO</t>
  </si>
  <si>
    <t>Cape May Court House</t>
  </si>
  <si>
    <t>Cerritos</t>
  </si>
  <si>
    <t>06460</t>
  </si>
  <si>
    <t>Dallas</t>
  </si>
  <si>
    <t>Hermantown</t>
  </si>
  <si>
    <t>MN</t>
  </si>
  <si>
    <t>33912</t>
  </si>
  <si>
    <t>Fort Myers</t>
  </si>
  <si>
    <t>20171</t>
  </si>
  <si>
    <t>Herndon</t>
  </si>
  <si>
    <t>Peoria</t>
  </si>
  <si>
    <t>15235</t>
  </si>
  <si>
    <t>Pittsburgh</t>
  </si>
  <si>
    <t>PA</t>
  </si>
  <si>
    <t>97301</t>
  </si>
  <si>
    <t>Salem</t>
  </si>
  <si>
    <t>93955</t>
  </si>
  <si>
    <t>Seaside</t>
  </si>
  <si>
    <t>Sterling</t>
  </si>
  <si>
    <t>Tucson</t>
  </si>
  <si>
    <t>AZ</t>
  </si>
  <si>
    <t>27028</t>
  </si>
  <si>
    <t>Mocksville</t>
  </si>
  <si>
    <t>NC</t>
  </si>
  <si>
    <t>45439</t>
  </si>
  <si>
    <t>Moraine</t>
  </si>
  <si>
    <t>Mount Sterling</t>
  </si>
  <si>
    <t>35476</t>
  </si>
  <si>
    <t>Northport</t>
  </si>
  <si>
    <t>Panama City</t>
  </si>
  <si>
    <t>Phoenix</t>
  </si>
  <si>
    <t>48341</t>
  </si>
  <si>
    <t>Pontiac</t>
  </si>
  <si>
    <t>25555</t>
  </si>
  <si>
    <t>Prichard</t>
  </si>
  <si>
    <t>WV</t>
  </si>
  <si>
    <t>38478</t>
  </si>
  <si>
    <t>Pulaski</t>
  </si>
  <si>
    <t>42276</t>
  </si>
  <si>
    <t>Russellville</t>
  </si>
  <si>
    <t>L8E</t>
  </si>
  <si>
    <t>Stoney Creek</t>
  </si>
  <si>
    <t>ON</t>
  </si>
  <si>
    <t>Winchester</t>
  </si>
  <si>
    <t>37398</t>
  </si>
  <si>
    <t>49464</t>
  </si>
  <si>
    <t>Zeeland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</si>
</sst>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000"/>
  </numFmts>
  <fonts count="9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8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sz val="1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0" fillId="2" borderId="0" xfId="0" applyFill="1" applyAlignment="1" applyProtection="1">
      <alignment vertical="center"/>
      <protection locked="0"/>
    </xf>
    <xf numFmtId="164" fontId="0" fillId="2" borderId="0" xfId="0" applyNumberFormat="1" applyFill="1" applyAlignment="1" applyProtection="1">
      <alignment vertical="center"/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164" fontId="0" fillId="3" borderId="1" xfId="0" applyNumberFormat="1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165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 wrapText="1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7" fillId="4" borderId="2" xfId="0" applyFont="1" applyFill="1" applyBorder="1" applyAlignment="1" applyProtection="1">
      <alignment horizontal="center" vertical="center" wrapText="1"/>
      <protection locked="0"/>
    </xf>
    <xf numFmtId="164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2" fillId="2" borderId="1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AD353-F634-467E-BD0A-B2133A7C9BF7}">
  <dimension ref="A1:FR185"/>
  <sheetViews>
    <sheetView showGridLines="0" tabSelected="1" zoomScale="85" zoomScaleNormal="85" workbookViewId="0">
      <selection activeCell="K9" sqref="K9"/>
    </sheetView>
  </sheetViews>
  <sheetFormatPr defaultColWidth="9.140625" defaultRowHeight="15" x14ac:dyDescent="0.25"/>
  <cols>
    <col min="1" max="1" width="11.5703125" style="1" bestFit="1" customWidth="1"/>
    <col min="2" max="2" width="22.140625" style="1" customWidth="1"/>
    <col min="3" max="3" width="13.5703125" style="1" bestFit="1" customWidth="1"/>
    <col min="4" max="4" width="9.42578125" style="1" bestFit="1" customWidth="1"/>
    <col min="5" max="5" width="21" style="2" bestFit="1" customWidth="1"/>
    <col min="6" max="6" width="11.28515625" style="2" bestFit="1" customWidth="1"/>
    <col min="7" max="7" width="14.5703125" style="1" bestFit="1" customWidth="1"/>
    <col min="8" max="8" width="10.28515625" style="1" bestFit="1" customWidth="1"/>
    <col min="9" max="9" width="7.42578125" style="2" bestFit="1" customWidth="1"/>
    <col min="10" max="10" width="16.42578125" style="2" customWidth="1"/>
    <col min="11" max="11" width="18.5703125" style="2" customWidth="1"/>
    <col min="12" max="12" width="21.28515625" style="2" customWidth="1"/>
    <col min="13" max="13" width="26.5703125" style="2" customWidth="1"/>
    <col min="14" max="169" width="9.140625" style="3"/>
    <col min="170" max="16384" width="9.140625" style="2"/>
  </cols>
  <sheetData>
    <row r="1" spans="1:174" s="6" customFormat="1" ht="29.25" customHeigh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5" t="s">
        <v>4</v>
      </c>
      <c r="F1" s="14" t="s">
        <v>5</v>
      </c>
      <c r="G1" s="14" t="s">
        <v>6</v>
      </c>
      <c r="H1" s="15" t="s">
        <v>7</v>
      </c>
      <c r="I1" s="14" t="s">
        <v>8</v>
      </c>
      <c r="J1" s="16" t="s">
        <v>9</v>
      </c>
      <c r="K1" s="16" t="s">
        <v>10</v>
      </c>
      <c r="L1" s="17" t="s">
        <v>11</v>
      </c>
      <c r="M1" s="17" t="s">
        <v>12</v>
      </c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</row>
    <row r="2" spans="1:174" ht="19.5" customHeight="1" x14ac:dyDescent="0.25">
      <c r="A2" s="9" t="s">
        <v>13</v>
      </c>
      <c r="B2" s="10" t="s">
        <v>14</v>
      </c>
      <c r="C2" s="10" t="s">
        <v>15</v>
      </c>
      <c r="D2" s="9" t="s">
        <v>16</v>
      </c>
      <c r="E2" s="10" t="s">
        <v>17</v>
      </c>
      <c r="F2" s="10" t="s">
        <v>18</v>
      </c>
      <c r="G2" s="10">
        <v>121</v>
      </c>
      <c r="H2" s="10" t="s">
        <v>19</v>
      </c>
      <c r="I2" s="11">
        <v>224</v>
      </c>
      <c r="J2" s="12">
        <v>1</v>
      </c>
      <c r="K2" s="7"/>
      <c r="L2" s="13">
        <f t="shared" ref="L2:L65" si="0">$K2*$I2</f>
        <v>0</v>
      </c>
      <c r="M2" s="13">
        <f t="shared" ref="M2:M65" si="1">$L2*$G2</f>
        <v>0</v>
      </c>
    </row>
    <row r="3" spans="1:174" ht="19.5" customHeight="1" x14ac:dyDescent="0.25">
      <c r="A3" s="9" t="s">
        <v>20</v>
      </c>
      <c r="B3" s="10" t="s">
        <v>21</v>
      </c>
      <c r="C3" s="10" t="s">
        <v>22</v>
      </c>
      <c r="D3" s="9" t="s">
        <v>23</v>
      </c>
      <c r="E3" s="10" t="s">
        <v>24</v>
      </c>
      <c r="F3" s="10" t="s">
        <v>25</v>
      </c>
      <c r="G3" s="10">
        <v>1</v>
      </c>
      <c r="H3" s="10" t="s">
        <v>19</v>
      </c>
      <c r="I3" s="11">
        <v>210</v>
      </c>
      <c r="J3" s="12">
        <v>1</v>
      </c>
      <c r="K3" s="7"/>
      <c r="L3" s="13">
        <f t="shared" si="0"/>
        <v>0</v>
      </c>
      <c r="M3" s="13">
        <f t="shared" si="1"/>
        <v>0</v>
      </c>
    </row>
    <row r="4" spans="1:174" ht="19.5" customHeight="1" x14ac:dyDescent="0.25">
      <c r="A4" s="9" t="s">
        <v>26</v>
      </c>
      <c r="B4" s="10" t="s">
        <v>27</v>
      </c>
      <c r="C4" s="10" t="s">
        <v>28</v>
      </c>
      <c r="D4" s="9" t="s">
        <v>29</v>
      </c>
      <c r="E4" s="10" t="s">
        <v>30</v>
      </c>
      <c r="F4" s="10" t="s">
        <v>31</v>
      </c>
      <c r="G4" s="10">
        <v>16</v>
      </c>
      <c r="H4" s="10" t="s">
        <v>19</v>
      </c>
      <c r="I4" s="11">
        <v>566</v>
      </c>
      <c r="J4" s="12">
        <v>2</v>
      </c>
      <c r="K4" s="7"/>
      <c r="L4" s="13">
        <f t="shared" si="0"/>
        <v>0</v>
      </c>
      <c r="M4" s="13">
        <f t="shared" si="1"/>
        <v>0</v>
      </c>
    </row>
    <row r="5" spans="1:174" ht="19.5" customHeight="1" x14ac:dyDescent="0.25">
      <c r="A5" s="9" t="s">
        <v>26</v>
      </c>
      <c r="B5" s="10" t="s">
        <v>27</v>
      </c>
      <c r="C5" s="10" t="s">
        <v>28</v>
      </c>
      <c r="D5" s="9" t="s">
        <v>16</v>
      </c>
      <c r="E5" s="10" t="s">
        <v>17</v>
      </c>
      <c r="F5" s="10" t="s">
        <v>18</v>
      </c>
      <c r="G5" s="10">
        <v>4</v>
      </c>
      <c r="H5" s="10" t="s">
        <v>19</v>
      </c>
      <c r="I5" s="11">
        <v>222</v>
      </c>
      <c r="J5" s="12">
        <v>1</v>
      </c>
      <c r="K5" s="7"/>
      <c r="L5" s="13">
        <f t="shared" si="0"/>
        <v>0</v>
      </c>
      <c r="M5" s="13">
        <f t="shared" si="1"/>
        <v>0</v>
      </c>
    </row>
    <row r="6" spans="1:174" ht="19.5" customHeight="1" x14ac:dyDescent="0.25">
      <c r="A6" s="9">
        <v>30336</v>
      </c>
      <c r="B6" s="10" t="s">
        <v>32</v>
      </c>
      <c r="C6" s="10" t="s">
        <v>33</v>
      </c>
      <c r="D6" s="9" t="s">
        <v>16</v>
      </c>
      <c r="E6" s="10" t="s">
        <v>17</v>
      </c>
      <c r="F6" s="10" t="s">
        <v>18</v>
      </c>
      <c r="G6" s="10">
        <v>1</v>
      </c>
      <c r="H6" s="10" t="s">
        <v>19</v>
      </c>
      <c r="I6" s="11">
        <v>172</v>
      </c>
      <c r="J6" s="12">
        <v>1</v>
      </c>
      <c r="K6" s="7"/>
      <c r="L6" s="13">
        <f t="shared" si="0"/>
        <v>0</v>
      </c>
      <c r="M6" s="13">
        <f t="shared" si="1"/>
        <v>0</v>
      </c>
    </row>
    <row r="7" spans="1:174" ht="19.5" customHeight="1" x14ac:dyDescent="0.25">
      <c r="A7" s="9">
        <v>36832</v>
      </c>
      <c r="B7" s="10" t="s">
        <v>34</v>
      </c>
      <c r="C7" s="10" t="s">
        <v>28</v>
      </c>
      <c r="D7" s="9" t="s">
        <v>29</v>
      </c>
      <c r="E7" s="10" t="s">
        <v>30</v>
      </c>
      <c r="F7" s="10" t="s">
        <v>31</v>
      </c>
      <c r="G7" s="10">
        <v>3</v>
      </c>
      <c r="H7" s="10" t="s">
        <v>19</v>
      </c>
      <c r="I7" s="11">
        <v>826</v>
      </c>
      <c r="J7" s="12">
        <v>2</v>
      </c>
      <c r="K7" s="7"/>
      <c r="L7" s="13">
        <f t="shared" si="0"/>
        <v>0</v>
      </c>
      <c r="M7" s="13">
        <f t="shared" si="1"/>
        <v>0</v>
      </c>
    </row>
    <row r="8" spans="1:174" ht="19.5" customHeight="1" x14ac:dyDescent="0.25">
      <c r="A8" s="9">
        <v>36832</v>
      </c>
      <c r="B8" s="10" t="s">
        <v>34</v>
      </c>
      <c r="C8" s="10" t="s">
        <v>28</v>
      </c>
      <c r="D8" s="9" t="s">
        <v>16</v>
      </c>
      <c r="E8" s="10" t="s">
        <v>17</v>
      </c>
      <c r="F8" s="10" t="s">
        <v>18</v>
      </c>
      <c r="G8" s="10">
        <v>18</v>
      </c>
      <c r="H8" s="10" t="s">
        <v>19</v>
      </c>
      <c r="I8" s="11">
        <v>295</v>
      </c>
      <c r="J8" s="12">
        <v>1</v>
      </c>
      <c r="K8" s="7"/>
      <c r="L8" s="13">
        <f t="shared" si="0"/>
        <v>0</v>
      </c>
      <c r="M8" s="13">
        <f t="shared" si="1"/>
        <v>0</v>
      </c>
    </row>
    <row r="9" spans="1:174" s="3" customFormat="1" ht="19.5" customHeight="1" x14ac:dyDescent="0.25">
      <c r="A9" s="9" t="s">
        <v>35</v>
      </c>
      <c r="B9" s="10" t="s">
        <v>36</v>
      </c>
      <c r="C9" s="10" t="s">
        <v>31</v>
      </c>
      <c r="D9" s="9" t="s">
        <v>16</v>
      </c>
      <c r="E9" s="10" t="s">
        <v>17</v>
      </c>
      <c r="F9" s="10" t="s">
        <v>18</v>
      </c>
      <c r="G9" s="10">
        <v>18</v>
      </c>
      <c r="H9" s="10" t="s">
        <v>19</v>
      </c>
      <c r="I9" s="11">
        <v>555</v>
      </c>
      <c r="J9" s="12">
        <v>2</v>
      </c>
      <c r="K9" s="7"/>
      <c r="L9" s="13">
        <f t="shared" si="0"/>
        <v>0</v>
      </c>
      <c r="M9" s="13">
        <f t="shared" si="1"/>
        <v>0</v>
      </c>
      <c r="FN9" s="2"/>
      <c r="FO9" s="2"/>
      <c r="FP9" s="2"/>
      <c r="FQ9" s="2"/>
      <c r="FR9" s="2"/>
    </row>
    <row r="10" spans="1:174" s="3" customFormat="1" ht="19.5" customHeight="1" x14ac:dyDescent="0.25">
      <c r="A10" s="9">
        <v>94510</v>
      </c>
      <c r="B10" s="10" t="s">
        <v>37</v>
      </c>
      <c r="C10" s="10" t="s">
        <v>38</v>
      </c>
      <c r="D10" s="9" t="s">
        <v>39</v>
      </c>
      <c r="E10" s="10" t="s">
        <v>40</v>
      </c>
      <c r="F10" s="10" t="s">
        <v>41</v>
      </c>
      <c r="G10" s="10">
        <v>1</v>
      </c>
      <c r="H10" s="10" t="s">
        <v>19</v>
      </c>
      <c r="I10" s="11">
        <v>2698</v>
      </c>
      <c r="J10" s="12">
        <v>6</v>
      </c>
      <c r="K10" s="7"/>
      <c r="L10" s="13">
        <f t="shared" si="0"/>
        <v>0</v>
      </c>
      <c r="M10" s="13">
        <f t="shared" si="1"/>
        <v>0</v>
      </c>
      <c r="FN10" s="2"/>
      <c r="FO10" s="2"/>
      <c r="FP10" s="2"/>
      <c r="FQ10" s="2"/>
      <c r="FR10" s="2"/>
    </row>
    <row r="11" spans="1:174" s="3" customFormat="1" ht="19.5" customHeight="1" x14ac:dyDescent="0.25">
      <c r="A11" s="9">
        <v>94510</v>
      </c>
      <c r="B11" s="10" t="s">
        <v>37</v>
      </c>
      <c r="C11" s="10" t="s">
        <v>38</v>
      </c>
      <c r="D11" s="9">
        <v>91950</v>
      </c>
      <c r="E11" s="10" t="s">
        <v>42</v>
      </c>
      <c r="F11" s="10" t="s">
        <v>38</v>
      </c>
      <c r="G11" s="10">
        <v>1</v>
      </c>
      <c r="H11" s="10" t="s">
        <v>19</v>
      </c>
      <c r="I11" s="11">
        <v>499</v>
      </c>
      <c r="J11" s="12">
        <v>1</v>
      </c>
      <c r="K11" s="7"/>
      <c r="L11" s="13">
        <f t="shared" si="0"/>
        <v>0</v>
      </c>
      <c r="M11" s="13">
        <f t="shared" si="1"/>
        <v>0</v>
      </c>
      <c r="FN11" s="2"/>
      <c r="FO11" s="2"/>
      <c r="FP11" s="2"/>
      <c r="FQ11" s="2"/>
      <c r="FR11" s="2"/>
    </row>
    <row r="12" spans="1:174" s="3" customFormat="1" ht="19.5" customHeight="1" x14ac:dyDescent="0.25">
      <c r="A12" s="9" t="s">
        <v>43</v>
      </c>
      <c r="B12" s="10" t="s">
        <v>44</v>
      </c>
      <c r="C12" s="10" t="s">
        <v>45</v>
      </c>
      <c r="D12" s="9" t="s">
        <v>46</v>
      </c>
      <c r="E12" s="10" t="s">
        <v>47</v>
      </c>
      <c r="F12" s="10" t="s">
        <v>48</v>
      </c>
      <c r="G12" s="10">
        <v>1</v>
      </c>
      <c r="H12" s="10" t="s">
        <v>19</v>
      </c>
      <c r="I12" s="11">
        <v>734</v>
      </c>
      <c r="J12" s="12">
        <v>2</v>
      </c>
      <c r="K12" s="7"/>
      <c r="L12" s="13">
        <f t="shared" si="0"/>
        <v>0</v>
      </c>
      <c r="M12" s="13">
        <f t="shared" si="1"/>
        <v>0</v>
      </c>
      <c r="FN12" s="2"/>
      <c r="FO12" s="2"/>
      <c r="FP12" s="2"/>
      <c r="FQ12" s="2"/>
      <c r="FR12" s="2"/>
    </row>
    <row r="13" spans="1:174" s="3" customFormat="1" ht="19.5" customHeight="1" x14ac:dyDescent="0.25">
      <c r="A13" s="9" t="s">
        <v>43</v>
      </c>
      <c r="B13" s="10" t="s">
        <v>44</v>
      </c>
      <c r="C13" s="10" t="s">
        <v>45</v>
      </c>
      <c r="D13" s="9" t="s">
        <v>23</v>
      </c>
      <c r="E13" s="10" t="s">
        <v>24</v>
      </c>
      <c r="F13" s="10" t="s">
        <v>25</v>
      </c>
      <c r="G13" s="10">
        <v>1</v>
      </c>
      <c r="H13" s="10" t="s">
        <v>19</v>
      </c>
      <c r="I13" s="11">
        <v>820</v>
      </c>
      <c r="J13" s="12">
        <v>2</v>
      </c>
      <c r="K13" s="7"/>
      <c r="L13" s="13">
        <f t="shared" si="0"/>
        <v>0</v>
      </c>
      <c r="M13" s="13">
        <f t="shared" si="1"/>
        <v>0</v>
      </c>
      <c r="FN13" s="2"/>
      <c r="FO13" s="2"/>
      <c r="FP13" s="2"/>
      <c r="FQ13" s="2"/>
      <c r="FR13" s="2"/>
    </row>
    <row r="14" spans="1:174" s="3" customFormat="1" ht="19.5" customHeight="1" x14ac:dyDescent="0.25">
      <c r="A14" s="9" t="s">
        <v>43</v>
      </c>
      <c r="B14" s="10" t="s">
        <v>44</v>
      </c>
      <c r="C14" s="10" t="s">
        <v>45</v>
      </c>
      <c r="D14" s="9" t="s">
        <v>49</v>
      </c>
      <c r="E14" s="10" t="s">
        <v>50</v>
      </c>
      <c r="F14" s="10" t="s">
        <v>51</v>
      </c>
      <c r="G14" s="10">
        <v>5</v>
      </c>
      <c r="H14" s="10" t="s">
        <v>19</v>
      </c>
      <c r="I14" s="11">
        <v>946</v>
      </c>
      <c r="J14" s="12">
        <v>2</v>
      </c>
      <c r="K14" s="7"/>
      <c r="L14" s="13">
        <f t="shared" si="0"/>
        <v>0</v>
      </c>
      <c r="M14" s="13">
        <f t="shared" si="1"/>
        <v>0</v>
      </c>
      <c r="FN14" s="2"/>
      <c r="FO14" s="2"/>
      <c r="FP14" s="2"/>
      <c r="FQ14" s="2"/>
      <c r="FR14" s="2"/>
    </row>
    <row r="15" spans="1:174" s="3" customFormat="1" ht="19.5" customHeight="1" x14ac:dyDescent="0.25">
      <c r="A15" s="9" t="s">
        <v>43</v>
      </c>
      <c r="B15" s="10" t="s">
        <v>44</v>
      </c>
      <c r="C15" s="10" t="s">
        <v>45</v>
      </c>
      <c r="D15" s="9">
        <v>53158</v>
      </c>
      <c r="E15" s="10" t="s">
        <v>52</v>
      </c>
      <c r="F15" s="10" t="s">
        <v>53</v>
      </c>
      <c r="G15" s="10">
        <v>1</v>
      </c>
      <c r="H15" s="10" t="s">
        <v>19</v>
      </c>
      <c r="I15" s="11">
        <v>71</v>
      </c>
      <c r="J15" s="12">
        <v>2</v>
      </c>
      <c r="K15" s="7"/>
      <c r="L15" s="13">
        <f t="shared" si="0"/>
        <v>0</v>
      </c>
      <c r="M15" s="13">
        <f t="shared" si="1"/>
        <v>0</v>
      </c>
      <c r="FN15" s="2"/>
      <c r="FO15" s="2"/>
      <c r="FP15" s="2"/>
      <c r="FQ15" s="2"/>
      <c r="FR15" s="2"/>
    </row>
    <row r="16" spans="1:174" s="3" customFormat="1" ht="19.5" customHeight="1" x14ac:dyDescent="0.25">
      <c r="A16" s="9" t="s">
        <v>54</v>
      </c>
      <c r="B16" s="10" t="s">
        <v>55</v>
      </c>
      <c r="C16" s="10" t="s">
        <v>31</v>
      </c>
      <c r="D16" s="9" t="s">
        <v>23</v>
      </c>
      <c r="E16" s="10" t="s">
        <v>24</v>
      </c>
      <c r="F16" s="10" t="s">
        <v>25</v>
      </c>
      <c r="G16" s="10">
        <v>11</v>
      </c>
      <c r="H16" s="10" t="s">
        <v>19</v>
      </c>
      <c r="I16" s="11">
        <v>639</v>
      </c>
      <c r="J16" s="12">
        <v>2</v>
      </c>
      <c r="K16" s="7"/>
      <c r="L16" s="13">
        <f t="shared" si="0"/>
        <v>0</v>
      </c>
      <c r="M16" s="13">
        <f t="shared" si="1"/>
        <v>0</v>
      </c>
      <c r="FN16" s="2"/>
      <c r="FO16" s="2"/>
      <c r="FP16" s="2"/>
      <c r="FQ16" s="2"/>
      <c r="FR16" s="2"/>
    </row>
    <row r="17" spans="1:174" s="3" customFormat="1" ht="19.5" customHeight="1" x14ac:dyDescent="0.25">
      <c r="A17" s="9" t="s">
        <v>54</v>
      </c>
      <c r="B17" s="10" t="s">
        <v>55</v>
      </c>
      <c r="C17" s="10" t="s">
        <v>31</v>
      </c>
      <c r="D17" s="9" t="s">
        <v>49</v>
      </c>
      <c r="E17" s="10" t="s">
        <v>50</v>
      </c>
      <c r="F17" s="10" t="s">
        <v>51</v>
      </c>
      <c r="G17" s="10">
        <v>6</v>
      </c>
      <c r="H17" s="10" t="s">
        <v>19</v>
      </c>
      <c r="I17" s="11">
        <v>1158</v>
      </c>
      <c r="J17" s="12">
        <v>3</v>
      </c>
      <c r="K17" s="7"/>
      <c r="L17" s="13">
        <f t="shared" si="0"/>
        <v>0</v>
      </c>
      <c r="M17" s="13">
        <f t="shared" si="1"/>
        <v>0</v>
      </c>
      <c r="FN17" s="2"/>
      <c r="FO17" s="2"/>
      <c r="FP17" s="2"/>
      <c r="FQ17" s="2"/>
      <c r="FR17" s="2"/>
    </row>
    <row r="18" spans="1:174" s="3" customFormat="1" ht="19.5" customHeight="1" x14ac:dyDescent="0.25">
      <c r="A18" s="9" t="s">
        <v>54</v>
      </c>
      <c r="B18" s="10" t="s">
        <v>55</v>
      </c>
      <c r="C18" s="10" t="s">
        <v>31</v>
      </c>
      <c r="D18" s="9" t="s">
        <v>39</v>
      </c>
      <c r="E18" s="10" t="s">
        <v>40</v>
      </c>
      <c r="F18" s="10" t="s">
        <v>56</v>
      </c>
      <c r="G18" s="10">
        <v>6</v>
      </c>
      <c r="H18" s="10" t="s">
        <v>19</v>
      </c>
      <c r="I18" s="11">
        <v>1040</v>
      </c>
      <c r="J18" s="12">
        <v>3</v>
      </c>
      <c r="K18" s="7"/>
      <c r="L18" s="13">
        <f t="shared" si="0"/>
        <v>0</v>
      </c>
      <c r="M18" s="13">
        <f t="shared" si="1"/>
        <v>0</v>
      </c>
      <c r="FN18" s="2"/>
      <c r="FO18" s="2"/>
      <c r="FP18" s="2"/>
      <c r="FQ18" s="2"/>
      <c r="FR18" s="2"/>
    </row>
    <row r="19" spans="1:174" s="3" customFormat="1" ht="19.5" customHeight="1" x14ac:dyDescent="0.25">
      <c r="A19" s="9" t="s">
        <v>54</v>
      </c>
      <c r="B19" s="10" t="s">
        <v>55</v>
      </c>
      <c r="C19" s="10" t="s">
        <v>31</v>
      </c>
      <c r="D19" s="9" t="s">
        <v>16</v>
      </c>
      <c r="E19" s="10" t="s">
        <v>17</v>
      </c>
      <c r="F19" s="10" t="s">
        <v>18</v>
      </c>
      <c r="G19" s="10">
        <v>6</v>
      </c>
      <c r="H19" s="10" t="s">
        <v>19</v>
      </c>
      <c r="I19" s="11">
        <v>542</v>
      </c>
      <c r="J19" s="12">
        <v>2</v>
      </c>
      <c r="K19" s="7"/>
      <c r="L19" s="13">
        <f t="shared" si="0"/>
        <v>0</v>
      </c>
      <c r="M19" s="13">
        <f t="shared" si="1"/>
        <v>0</v>
      </c>
      <c r="FN19" s="2"/>
      <c r="FO19" s="2"/>
      <c r="FP19" s="2"/>
      <c r="FQ19" s="2"/>
      <c r="FR19" s="2"/>
    </row>
    <row r="20" spans="1:174" s="3" customFormat="1" ht="19.5" customHeight="1" x14ac:dyDescent="0.25">
      <c r="A20" s="9" t="s">
        <v>54</v>
      </c>
      <c r="B20" s="10" t="s">
        <v>55</v>
      </c>
      <c r="C20" s="10" t="s">
        <v>31</v>
      </c>
      <c r="D20" s="9" t="s">
        <v>57</v>
      </c>
      <c r="E20" s="10" t="s">
        <v>58</v>
      </c>
      <c r="F20" s="10" t="s">
        <v>38</v>
      </c>
      <c r="G20" s="10">
        <v>8</v>
      </c>
      <c r="H20" s="10" t="s">
        <v>19</v>
      </c>
      <c r="I20" s="11">
        <v>2221</v>
      </c>
      <c r="J20" s="12">
        <v>5</v>
      </c>
      <c r="K20" s="7"/>
      <c r="L20" s="13">
        <f t="shared" si="0"/>
        <v>0</v>
      </c>
      <c r="M20" s="13">
        <f t="shared" si="1"/>
        <v>0</v>
      </c>
      <c r="FN20" s="2"/>
      <c r="FO20" s="2"/>
      <c r="FP20" s="2"/>
      <c r="FQ20" s="2"/>
      <c r="FR20" s="2"/>
    </row>
    <row r="21" spans="1:174" s="3" customFormat="1" ht="19.5" customHeight="1" x14ac:dyDescent="0.25">
      <c r="A21" s="9" t="s">
        <v>54</v>
      </c>
      <c r="B21" s="10" t="s">
        <v>55</v>
      </c>
      <c r="C21" s="10" t="s">
        <v>31</v>
      </c>
      <c r="D21" s="9" t="s">
        <v>59</v>
      </c>
      <c r="E21" s="10" t="s">
        <v>52</v>
      </c>
      <c r="F21" s="10" t="s">
        <v>53</v>
      </c>
      <c r="G21" s="10">
        <v>8</v>
      </c>
      <c r="H21" s="10" t="s">
        <v>19</v>
      </c>
      <c r="I21" s="11">
        <v>321</v>
      </c>
      <c r="J21" s="12">
        <v>1</v>
      </c>
      <c r="K21" s="7"/>
      <c r="L21" s="13">
        <f t="shared" si="0"/>
        <v>0</v>
      </c>
      <c r="M21" s="13">
        <f t="shared" si="1"/>
        <v>0</v>
      </c>
      <c r="FN21" s="2"/>
      <c r="FO21" s="2"/>
      <c r="FP21" s="2"/>
      <c r="FQ21" s="2"/>
      <c r="FR21" s="2"/>
    </row>
    <row r="22" spans="1:174" s="3" customFormat="1" ht="19.5" customHeight="1" x14ac:dyDescent="0.25">
      <c r="A22" s="9" t="s">
        <v>54</v>
      </c>
      <c r="B22" s="10" t="s">
        <v>55</v>
      </c>
      <c r="C22" s="10" t="s">
        <v>31</v>
      </c>
      <c r="D22" s="9" t="s">
        <v>60</v>
      </c>
      <c r="E22" s="10" t="s">
        <v>61</v>
      </c>
      <c r="F22" s="10" t="s">
        <v>38</v>
      </c>
      <c r="G22" s="10">
        <v>6</v>
      </c>
      <c r="H22" s="10" t="s">
        <v>19</v>
      </c>
      <c r="I22" s="11">
        <v>2258</v>
      </c>
      <c r="J22" s="12">
        <v>5</v>
      </c>
      <c r="K22" s="7"/>
      <c r="L22" s="13">
        <f t="shared" si="0"/>
        <v>0</v>
      </c>
      <c r="M22" s="13">
        <f t="shared" si="1"/>
        <v>0</v>
      </c>
      <c r="FN22" s="2"/>
      <c r="FO22" s="2"/>
      <c r="FP22" s="2"/>
      <c r="FQ22" s="2"/>
      <c r="FR22" s="2"/>
    </row>
    <row r="23" spans="1:174" s="3" customFormat="1" ht="19.5" customHeight="1" x14ac:dyDescent="0.25">
      <c r="A23" s="9">
        <v>30518</v>
      </c>
      <c r="B23" s="10" t="s">
        <v>62</v>
      </c>
      <c r="C23" s="10" t="s">
        <v>33</v>
      </c>
      <c r="D23" s="9">
        <v>21219</v>
      </c>
      <c r="E23" s="10" t="s">
        <v>47</v>
      </c>
      <c r="F23" s="10" t="s">
        <v>48</v>
      </c>
      <c r="G23" s="10">
        <v>3</v>
      </c>
      <c r="H23" s="10" t="s">
        <v>19</v>
      </c>
      <c r="I23" s="11">
        <v>657</v>
      </c>
      <c r="J23" s="12">
        <v>2</v>
      </c>
      <c r="K23" s="7"/>
      <c r="L23" s="13">
        <f t="shared" si="0"/>
        <v>0</v>
      </c>
      <c r="M23" s="13">
        <f t="shared" si="1"/>
        <v>0</v>
      </c>
      <c r="FN23" s="2"/>
      <c r="FO23" s="2"/>
      <c r="FP23" s="2"/>
      <c r="FQ23" s="2"/>
      <c r="FR23" s="2"/>
    </row>
    <row r="24" spans="1:174" s="3" customFormat="1" ht="19.5" customHeight="1" x14ac:dyDescent="0.25">
      <c r="A24" s="9">
        <v>30518</v>
      </c>
      <c r="B24" s="10" t="s">
        <v>62</v>
      </c>
      <c r="C24" s="10" t="s">
        <v>33</v>
      </c>
      <c r="D24" s="9">
        <v>37416</v>
      </c>
      <c r="E24" s="10" t="s">
        <v>63</v>
      </c>
      <c r="F24" s="10" t="s">
        <v>18</v>
      </c>
      <c r="G24" s="10">
        <v>11</v>
      </c>
      <c r="H24" s="10" t="s">
        <v>19</v>
      </c>
      <c r="I24" s="11">
        <v>145</v>
      </c>
      <c r="J24" s="12">
        <v>1</v>
      </c>
      <c r="K24" s="7"/>
      <c r="L24" s="13">
        <f t="shared" si="0"/>
        <v>0</v>
      </c>
      <c r="M24" s="13">
        <f t="shared" si="1"/>
        <v>0</v>
      </c>
      <c r="FN24" s="2"/>
      <c r="FO24" s="2"/>
      <c r="FP24" s="2"/>
      <c r="FQ24" s="2"/>
      <c r="FR24" s="2"/>
    </row>
    <row r="25" spans="1:174" s="3" customFormat="1" ht="19.5" customHeight="1" x14ac:dyDescent="0.25">
      <c r="A25" s="9">
        <v>30518</v>
      </c>
      <c r="B25" s="10" t="s">
        <v>62</v>
      </c>
      <c r="C25" s="10" t="s">
        <v>33</v>
      </c>
      <c r="D25" s="9">
        <v>32226</v>
      </c>
      <c r="E25" s="10" t="s">
        <v>40</v>
      </c>
      <c r="F25" s="10" t="s">
        <v>56</v>
      </c>
      <c r="G25" s="10">
        <v>4</v>
      </c>
      <c r="H25" s="10" t="s">
        <v>19</v>
      </c>
      <c r="I25" s="11">
        <v>333</v>
      </c>
      <c r="J25" s="12">
        <v>1</v>
      </c>
      <c r="K25" s="7"/>
      <c r="L25" s="13">
        <f t="shared" si="0"/>
        <v>0</v>
      </c>
      <c r="M25" s="13">
        <f t="shared" si="1"/>
        <v>0</v>
      </c>
      <c r="FN25" s="2"/>
      <c r="FO25" s="2"/>
      <c r="FP25" s="2"/>
      <c r="FQ25" s="2"/>
      <c r="FR25" s="2"/>
    </row>
    <row r="26" spans="1:174" s="3" customFormat="1" ht="19.5" customHeight="1" x14ac:dyDescent="0.25">
      <c r="A26" s="9">
        <v>30518</v>
      </c>
      <c r="B26" s="10" t="s">
        <v>62</v>
      </c>
      <c r="C26" s="10" t="s">
        <v>33</v>
      </c>
      <c r="D26" s="9" t="s">
        <v>64</v>
      </c>
      <c r="E26" s="10" t="s">
        <v>65</v>
      </c>
      <c r="F26" s="10" t="s">
        <v>51</v>
      </c>
      <c r="G26" s="10">
        <v>4</v>
      </c>
      <c r="H26" s="10" t="s">
        <v>19</v>
      </c>
      <c r="I26" s="11">
        <v>838</v>
      </c>
      <c r="J26" s="12">
        <v>2</v>
      </c>
      <c r="K26" s="7"/>
      <c r="L26" s="13">
        <f t="shared" si="0"/>
        <v>0</v>
      </c>
      <c r="M26" s="13">
        <f t="shared" si="1"/>
        <v>0</v>
      </c>
      <c r="FN26" s="2"/>
      <c r="FO26" s="2"/>
      <c r="FP26" s="2"/>
      <c r="FQ26" s="2"/>
      <c r="FR26" s="2"/>
    </row>
    <row r="27" spans="1:174" s="3" customFormat="1" ht="19.5" customHeight="1" x14ac:dyDescent="0.25">
      <c r="A27" s="9">
        <v>30518</v>
      </c>
      <c r="B27" s="10" t="s">
        <v>62</v>
      </c>
      <c r="C27" s="10" t="s">
        <v>33</v>
      </c>
      <c r="D27" s="9" t="s">
        <v>66</v>
      </c>
      <c r="E27" s="10" t="s">
        <v>67</v>
      </c>
      <c r="F27" s="10" t="s">
        <v>68</v>
      </c>
      <c r="G27" s="10">
        <v>1</v>
      </c>
      <c r="H27" s="10" t="s">
        <v>19</v>
      </c>
      <c r="I27" s="11">
        <v>985</v>
      </c>
      <c r="J27" s="12">
        <v>2</v>
      </c>
      <c r="K27" s="7"/>
      <c r="L27" s="13">
        <f t="shared" si="0"/>
        <v>0</v>
      </c>
      <c r="M27" s="13">
        <f t="shared" si="1"/>
        <v>0</v>
      </c>
      <c r="FN27" s="2"/>
      <c r="FO27" s="2"/>
      <c r="FP27" s="2"/>
      <c r="FQ27" s="2"/>
      <c r="FR27" s="2"/>
    </row>
    <row r="28" spans="1:174" s="3" customFormat="1" ht="19.5" customHeight="1" x14ac:dyDescent="0.25">
      <c r="A28" s="9" t="s">
        <v>69</v>
      </c>
      <c r="B28" s="10" t="s">
        <v>70</v>
      </c>
      <c r="C28" s="10" t="s">
        <v>33</v>
      </c>
      <c r="D28" s="9" t="s">
        <v>16</v>
      </c>
      <c r="E28" s="10" t="s">
        <v>17</v>
      </c>
      <c r="F28" s="10" t="s">
        <v>18</v>
      </c>
      <c r="G28" s="10">
        <v>54</v>
      </c>
      <c r="H28" s="10" t="s">
        <v>19</v>
      </c>
      <c r="I28" s="11">
        <v>206</v>
      </c>
      <c r="J28" s="12">
        <v>1</v>
      </c>
      <c r="K28" s="7"/>
      <c r="L28" s="13">
        <f t="shared" si="0"/>
        <v>0</v>
      </c>
      <c r="M28" s="13">
        <f t="shared" si="1"/>
        <v>0</v>
      </c>
      <c r="FN28" s="2"/>
      <c r="FO28" s="2"/>
      <c r="FP28" s="2"/>
      <c r="FQ28" s="2"/>
      <c r="FR28" s="2"/>
    </row>
    <row r="29" spans="1:174" s="3" customFormat="1" ht="19.5" customHeight="1" x14ac:dyDescent="0.25">
      <c r="A29" s="9">
        <v>90745</v>
      </c>
      <c r="B29" s="10" t="s">
        <v>71</v>
      </c>
      <c r="C29" s="10" t="s">
        <v>38</v>
      </c>
      <c r="D29" s="9">
        <v>37416</v>
      </c>
      <c r="E29" s="10" t="s">
        <v>63</v>
      </c>
      <c r="F29" s="10" t="s">
        <v>18</v>
      </c>
      <c r="G29" s="10">
        <v>2</v>
      </c>
      <c r="H29" s="10" t="s">
        <v>19</v>
      </c>
      <c r="I29" s="11">
        <v>2159</v>
      </c>
      <c r="J29" s="12">
        <v>5</v>
      </c>
      <c r="K29" s="7"/>
      <c r="L29" s="13">
        <f t="shared" si="0"/>
        <v>0</v>
      </c>
      <c r="M29" s="13">
        <f t="shared" si="1"/>
        <v>0</v>
      </c>
      <c r="FN29" s="2"/>
      <c r="FO29" s="2"/>
      <c r="FP29" s="2"/>
      <c r="FQ29" s="2"/>
      <c r="FR29" s="2"/>
    </row>
    <row r="30" spans="1:174" s="3" customFormat="1" ht="19.5" customHeight="1" x14ac:dyDescent="0.25">
      <c r="A30" s="9">
        <v>37416</v>
      </c>
      <c r="B30" s="10" t="s">
        <v>63</v>
      </c>
      <c r="C30" s="10" t="s">
        <v>18</v>
      </c>
      <c r="D30" s="9">
        <v>90745</v>
      </c>
      <c r="E30" s="10" t="s">
        <v>71</v>
      </c>
      <c r="F30" s="10" t="s">
        <v>38</v>
      </c>
      <c r="G30" s="10">
        <v>5</v>
      </c>
      <c r="H30" s="10" t="s">
        <v>19</v>
      </c>
      <c r="I30" s="11">
        <v>2159</v>
      </c>
      <c r="J30" s="12">
        <v>5</v>
      </c>
      <c r="K30" s="7"/>
      <c r="L30" s="13">
        <f t="shared" si="0"/>
        <v>0</v>
      </c>
      <c r="M30" s="13">
        <f t="shared" si="1"/>
        <v>0</v>
      </c>
      <c r="FN30" s="2"/>
      <c r="FO30" s="2"/>
      <c r="FP30" s="2"/>
      <c r="FQ30" s="2"/>
      <c r="FR30" s="2"/>
    </row>
    <row r="31" spans="1:174" s="3" customFormat="1" ht="19.5" customHeight="1" x14ac:dyDescent="0.25">
      <c r="A31" s="9" t="s">
        <v>72</v>
      </c>
      <c r="B31" s="10" t="s">
        <v>63</v>
      </c>
      <c r="C31" s="10" t="s">
        <v>18</v>
      </c>
      <c r="D31" s="9">
        <v>32226</v>
      </c>
      <c r="E31" s="10" t="s">
        <v>40</v>
      </c>
      <c r="F31" s="10" t="s">
        <v>56</v>
      </c>
      <c r="G31" s="10">
        <v>1</v>
      </c>
      <c r="H31" s="10" t="s">
        <v>19</v>
      </c>
      <c r="I31" s="11">
        <v>464</v>
      </c>
      <c r="J31" s="12">
        <v>1</v>
      </c>
      <c r="K31" s="7"/>
      <c r="L31" s="13">
        <f t="shared" si="0"/>
        <v>0</v>
      </c>
      <c r="M31" s="13">
        <f t="shared" si="1"/>
        <v>0</v>
      </c>
      <c r="FN31" s="2"/>
      <c r="FO31" s="2"/>
      <c r="FP31" s="2"/>
      <c r="FQ31" s="2"/>
      <c r="FR31" s="2"/>
    </row>
    <row r="32" spans="1:174" s="3" customFormat="1" ht="19.5" customHeight="1" x14ac:dyDescent="0.25">
      <c r="A32" s="9" t="s">
        <v>72</v>
      </c>
      <c r="B32" s="10" t="s">
        <v>63</v>
      </c>
      <c r="C32" s="10" t="s">
        <v>18</v>
      </c>
      <c r="D32" s="9" t="s">
        <v>29</v>
      </c>
      <c r="E32" s="10" t="s">
        <v>30</v>
      </c>
      <c r="F32" s="10" t="s">
        <v>31</v>
      </c>
      <c r="G32" s="10">
        <v>41</v>
      </c>
      <c r="H32" s="10" t="s">
        <v>19</v>
      </c>
      <c r="I32" s="11">
        <v>620</v>
      </c>
      <c r="J32" s="12">
        <v>2</v>
      </c>
      <c r="K32" s="7"/>
      <c r="L32" s="13">
        <f t="shared" si="0"/>
        <v>0</v>
      </c>
      <c r="M32" s="13">
        <f t="shared" si="1"/>
        <v>0</v>
      </c>
      <c r="FN32" s="2"/>
      <c r="FO32" s="2"/>
      <c r="FP32" s="2"/>
      <c r="FQ32" s="2"/>
      <c r="FR32" s="2"/>
    </row>
    <row r="33" spans="1:174" s="3" customFormat="1" ht="19.5" customHeight="1" x14ac:dyDescent="0.25">
      <c r="A33" s="9" t="s">
        <v>73</v>
      </c>
      <c r="B33" s="10" t="s">
        <v>63</v>
      </c>
      <c r="C33" s="10" t="s">
        <v>18</v>
      </c>
      <c r="D33" s="9" t="s">
        <v>16</v>
      </c>
      <c r="E33" s="10" t="s">
        <v>17</v>
      </c>
      <c r="F33" s="10" t="s">
        <v>18</v>
      </c>
      <c r="G33" s="10">
        <v>324</v>
      </c>
      <c r="H33" s="10" t="s">
        <v>19</v>
      </c>
      <c r="I33" s="11">
        <v>89</v>
      </c>
      <c r="J33" s="12">
        <v>1</v>
      </c>
      <c r="K33" s="7"/>
      <c r="L33" s="13">
        <f t="shared" si="0"/>
        <v>0</v>
      </c>
      <c r="M33" s="13">
        <f t="shared" si="1"/>
        <v>0</v>
      </c>
      <c r="FN33" s="2"/>
      <c r="FO33" s="2"/>
      <c r="FP33" s="2"/>
      <c r="FQ33" s="2"/>
      <c r="FR33" s="2"/>
    </row>
    <row r="34" spans="1:174" s="3" customFormat="1" ht="19.5" customHeight="1" x14ac:dyDescent="0.25">
      <c r="A34" s="9">
        <v>37416</v>
      </c>
      <c r="B34" s="10" t="s">
        <v>63</v>
      </c>
      <c r="C34" s="10" t="s">
        <v>18</v>
      </c>
      <c r="D34" s="9">
        <v>64150</v>
      </c>
      <c r="E34" s="10" t="s">
        <v>74</v>
      </c>
      <c r="F34" s="10" t="s">
        <v>75</v>
      </c>
      <c r="G34" s="10">
        <v>4</v>
      </c>
      <c r="H34" s="10" t="s">
        <v>19</v>
      </c>
      <c r="I34" s="11">
        <v>688</v>
      </c>
      <c r="J34" s="12">
        <v>2</v>
      </c>
      <c r="K34" s="7"/>
      <c r="L34" s="13">
        <f t="shared" si="0"/>
        <v>0</v>
      </c>
      <c r="M34" s="13">
        <f t="shared" si="1"/>
        <v>0</v>
      </c>
      <c r="FN34" s="2"/>
      <c r="FO34" s="2"/>
      <c r="FP34" s="2"/>
      <c r="FQ34" s="2"/>
      <c r="FR34" s="2"/>
    </row>
    <row r="35" spans="1:174" s="3" customFormat="1" ht="19.5" customHeight="1" x14ac:dyDescent="0.25">
      <c r="A35" s="9" t="s">
        <v>72</v>
      </c>
      <c r="B35" s="10" t="s">
        <v>63</v>
      </c>
      <c r="C35" s="10" t="s">
        <v>18</v>
      </c>
      <c r="D35" s="9" t="s">
        <v>76</v>
      </c>
      <c r="E35" s="10" t="s">
        <v>77</v>
      </c>
      <c r="F35" s="10" t="s">
        <v>45</v>
      </c>
      <c r="G35" s="10">
        <v>5</v>
      </c>
      <c r="H35" s="10" t="s">
        <v>19</v>
      </c>
      <c r="I35" s="11">
        <v>666</v>
      </c>
      <c r="J35" s="12">
        <v>2</v>
      </c>
      <c r="K35" s="7"/>
      <c r="L35" s="13">
        <f t="shared" si="0"/>
        <v>0</v>
      </c>
      <c r="M35" s="13">
        <f t="shared" si="1"/>
        <v>0</v>
      </c>
      <c r="FN35" s="2"/>
      <c r="FO35" s="2"/>
      <c r="FP35" s="2"/>
      <c r="FQ35" s="2"/>
      <c r="FR35" s="2"/>
    </row>
    <row r="36" spans="1:174" s="3" customFormat="1" ht="19.5" customHeight="1" x14ac:dyDescent="0.25">
      <c r="A36" s="9">
        <v>37416</v>
      </c>
      <c r="B36" s="10" t="s">
        <v>63</v>
      </c>
      <c r="C36" s="10" t="s">
        <v>18</v>
      </c>
      <c r="D36" s="9">
        <v>1085</v>
      </c>
      <c r="E36" s="10" t="s">
        <v>78</v>
      </c>
      <c r="F36" s="10" t="s">
        <v>79</v>
      </c>
      <c r="G36" s="10">
        <v>3</v>
      </c>
      <c r="H36" s="10" t="s">
        <v>19</v>
      </c>
      <c r="I36" s="11">
        <v>961</v>
      </c>
      <c r="J36" s="12">
        <v>2</v>
      </c>
      <c r="K36" s="7"/>
      <c r="L36" s="13">
        <f t="shared" si="0"/>
        <v>0</v>
      </c>
      <c r="M36" s="13">
        <f t="shared" si="1"/>
        <v>0</v>
      </c>
      <c r="FN36" s="2"/>
      <c r="FO36" s="2"/>
      <c r="FP36" s="2"/>
      <c r="FQ36" s="2"/>
      <c r="FR36" s="2"/>
    </row>
    <row r="37" spans="1:174" s="3" customFormat="1" ht="19.5" customHeight="1" x14ac:dyDescent="0.25">
      <c r="A37" s="9" t="s">
        <v>80</v>
      </c>
      <c r="B37" s="10" t="s">
        <v>81</v>
      </c>
      <c r="C37" s="10" t="s">
        <v>18</v>
      </c>
      <c r="D37" s="9" t="s">
        <v>16</v>
      </c>
      <c r="E37" s="10" t="s">
        <v>17</v>
      </c>
      <c r="F37" s="10" t="s">
        <v>18</v>
      </c>
      <c r="G37" s="10">
        <v>17</v>
      </c>
      <c r="H37" s="10" t="s">
        <v>19</v>
      </c>
      <c r="I37" s="11">
        <v>38</v>
      </c>
      <c r="J37" s="12">
        <v>1</v>
      </c>
      <c r="K37" s="7"/>
      <c r="L37" s="13">
        <f t="shared" si="0"/>
        <v>0</v>
      </c>
      <c r="M37" s="13">
        <f t="shared" si="1"/>
        <v>0</v>
      </c>
      <c r="FN37" s="2"/>
      <c r="FO37" s="2"/>
      <c r="FP37" s="2"/>
      <c r="FQ37" s="2"/>
      <c r="FR37" s="2"/>
    </row>
    <row r="38" spans="1:174" s="3" customFormat="1" ht="19.5" customHeight="1" x14ac:dyDescent="0.25">
      <c r="A38" s="9" t="s">
        <v>82</v>
      </c>
      <c r="B38" s="10" t="s">
        <v>83</v>
      </c>
      <c r="C38" s="10" t="s">
        <v>33</v>
      </c>
      <c r="D38" s="9" t="s">
        <v>16</v>
      </c>
      <c r="E38" s="10" t="s">
        <v>17</v>
      </c>
      <c r="F38" s="10" t="s">
        <v>18</v>
      </c>
      <c r="G38" s="10">
        <v>1</v>
      </c>
      <c r="H38" s="10" t="s">
        <v>19</v>
      </c>
      <c r="I38" s="11">
        <v>237</v>
      </c>
      <c r="J38" s="12">
        <v>1</v>
      </c>
      <c r="K38" s="7"/>
      <c r="L38" s="13">
        <f t="shared" si="0"/>
        <v>0</v>
      </c>
      <c r="M38" s="13">
        <f t="shared" si="1"/>
        <v>0</v>
      </c>
      <c r="FN38" s="2"/>
      <c r="FO38" s="2"/>
      <c r="FP38" s="2"/>
      <c r="FQ38" s="2"/>
      <c r="FR38" s="2"/>
    </row>
    <row r="39" spans="1:174" s="3" customFormat="1" ht="19.5" customHeight="1" x14ac:dyDescent="0.25">
      <c r="A39" s="9">
        <v>38506</v>
      </c>
      <c r="B39" s="10" t="s">
        <v>84</v>
      </c>
      <c r="C39" s="10" t="s">
        <v>18</v>
      </c>
      <c r="D39" s="9">
        <v>48126</v>
      </c>
      <c r="E39" s="10" t="s">
        <v>30</v>
      </c>
      <c r="F39" s="10" t="s">
        <v>31</v>
      </c>
      <c r="G39" s="10">
        <v>1</v>
      </c>
      <c r="H39" s="10" t="s">
        <v>19</v>
      </c>
      <c r="I39" s="11">
        <v>512</v>
      </c>
      <c r="J39" s="12">
        <v>2</v>
      </c>
      <c r="K39" s="7"/>
      <c r="L39" s="13">
        <f t="shared" si="0"/>
        <v>0</v>
      </c>
      <c r="M39" s="13">
        <f t="shared" si="1"/>
        <v>0</v>
      </c>
      <c r="FN39" s="2"/>
      <c r="FO39" s="2"/>
      <c r="FP39" s="2"/>
      <c r="FQ39" s="2"/>
      <c r="FR39" s="2"/>
    </row>
    <row r="40" spans="1:174" s="3" customFormat="1" ht="19.5" customHeight="1" x14ac:dyDescent="0.25">
      <c r="A40" s="9">
        <v>30014</v>
      </c>
      <c r="B40" s="10" t="s">
        <v>83</v>
      </c>
      <c r="C40" s="10" t="s">
        <v>33</v>
      </c>
      <c r="D40" s="9">
        <v>37771</v>
      </c>
      <c r="E40" s="10" t="s">
        <v>17</v>
      </c>
      <c r="F40" s="10" t="s">
        <v>18</v>
      </c>
      <c r="G40" s="10">
        <v>1</v>
      </c>
      <c r="H40" s="10" t="s">
        <v>19</v>
      </c>
      <c r="I40" s="11">
        <v>237</v>
      </c>
      <c r="J40" s="12">
        <v>1</v>
      </c>
      <c r="K40" s="7"/>
      <c r="L40" s="13">
        <f t="shared" si="0"/>
        <v>0</v>
      </c>
      <c r="M40" s="13">
        <f t="shared" si="1"/>
        <v>0</v>
      </c>
      <c r="FN40" s="2"/>
      <c r="FO40" s="2"/>
      <c r="FP40" s="2"/>
      <c r="FQ40" s="2"/>
      <c r="FR40" s="2"/>
    </row>
    <row r="41" spans="1:174" s="3" customFormat="1" ht="19.5" customHeight="1" x14ac:dyDescent="0.25">
      <c r="A41" s="9" t="s">
        <v>23</v>
      </c>
      <c r="B41" s="10" t="s">
        <v>24</v>
      </c>
      <c r="C41" s="10" t="s">
        <v>25</v>
      </c>
      <c r="D41" s="9" t="s">
        <v>46</v>
      </c>
      <c r="E41" s="10" t="s">
        <v>47</v>
      </c>
      <c r="F41" s="10" t="s">
        <v>48</v>
      </c>
      <c r="G41" s="10">
        <v>54</v>
      </c>
      <c r="H41" s="10" t="s">
        <v>19</v>
      </c>
      <c r="I41" s="11">
        <v>149</v>
      </c>
      <c r="J41" s="12">
        <v>1</v>
      </c>
      <c r="K41" s="7"/>
      <c r="L41" s="13">
        <f t="shared" si="0"/>
        <v>0</v>
      </c>
      <c r="M41" s="13">
        <f t="shared" si="1"/>
        <v>0</v>
      </c>
      <c r="FN41" s="2"/>
      <c r="FO41" s="2"/>
      <c r="FP41" s="2"/>
      <c r="FQ41" s="2"/>
      <c r="FR41" s="2"/>
    </row>
    <row r="42" spans="1:174" s="3" customFormat="1" ht="19.5" customHeight="1" x14ac:dyDescent="0.25">
      <c r="A42" s="9" t="s">
        <v>23</v>
      </c>
      <c r="B42" s="10" t="s">
        <v>24</v>
      </c>
      <c r="C42" s="10" t="s">
        <v>25</v>
      </c>
      <c r="D42" s="9" t="s">
        <v>85</v>
      </c>
      <c r="E42" s="10" t="s">
        <v>37</v>
      </c>
      <c r="F42" s="10" t="s">
        <v>38</v>
      </c>
      <c r="G42" s="10">
        <v>51</v>
      </c>
      <c r="H42" s="10" t="s">
        <v>19</v>
      </c>
      <c r="I42" s="11">
        <v>2883</v>
      </c>
      <c r="J42" s="12">
        <v>6</v>
      </c>
      <c r="K42" s="7"/>
      <c r="L42" s="13">
        <f t="shared" si="0"/>
        <v>0</v>
      </c>
      <c r="M42" s="13">
        <f t="shared" si="1"/>
        <v>0</v>
      </c>
      <c r="FN42" s="2"/>
      <c r="FO42" s="2"/>
      <c r="FP42" s="2"/>
      <c r="FQ42" s="2"/>
      <c r="FR42" s="2"/>
    </row>
    <row r="43" spans="1:174" s="3" customFormat="1" ht="19.5" customHeight="1" x14ac:dyDescent="0.25">
      <c r="A43" s="9" t="s">
        <v>23</v>
      </c>
      <c r="B43" s="10" t="s">
        <v>24</v>
      </c>
      <c r="C43" s="10" t="s">
        <v>25</v>
      </c>
      <c r="D43" s="9" t="s">
        <v>86</v>
      </c>
      <c r="E43" s="10" t="s">
        <v>63</v>
      </c>
      <c r="F43" s="10" t="s">
        <v>18</v>
      </c>
      <c r="G43" s="10">
        <v>40</v>
      </c>
      <c r="H43" s="10" t="s">
        <v>19</v>
      </c>
      <c r="I43" s="11">
        <v>781</v>
      </c>
      <c r="J43" s="12">
        <v>2</v>
      </c>
      <c r="K43" s="7"/>
      <c r="L43" s="13">
        <f t="shared" si="0"/>
        <v>0</v>
      </c>
      <c r="M43" s="13">
        <f t="shared" si="1"/>
        <v>0</v>
      </c>
      <c r="FN43" s="2"/>
      <c r="FO43" s="2"/>
      <c r="FP43" s="2"/>
      <c r="FQ43" s="2"/>
      <c r="FR43" s="2"/>
    </row>
    <row r="44" spans="1:174" s="3" customFormat="1" ht="19.5" customHeight="1" x14ac:dyDescent="0.25">
      <c r="A44" s="9" t="s">
        <v>23</v>
      </c>
      <c r="B44" s="10" t="s">
        <v>24</v>
      </c>
      <c r="C44" s="10" t="s">
        <v>25</v>
      </c>
      <c r="D44" s="9" t="s">
        <v>49</v>
      </c>
      <c r="E44" s="10" t="s">
        <v>50</v>
      </c>
      <c r="F44" s="10" t="s">
        <v>51</v>
      </c>
      <c r="G44" s="10">
        <v>2</v>
      </c>
      <c r="H44" s="10" t="s">
        <v>19</v>
      </c>
      <c r="I44" s="11">
        <v>1529</v>
      </c>
      <c r="J44" s="12">
        <v>3</v>
      </c>
      <c r="K44" s="7"/>
      <c r="L44" s="13">
        <f t="shared" si="0"/>
        <v>0</v>
      </c>
      <c r="M44" s="13">
        <f t="shared" si="1"/>
        <v>0</v>
      </c>
      <c r="FN44" s="2"/>
      <c r="FO44" s="2"/>
      <c r="FP44" s="2"/>
      <c r="FQ44" s="2"/>
      <c r="FR44" s="2"/>
    </row>
    <row r="45" spans="1:174" s="3" customFormat="1" ht="19.5" customHeight="1" x14ac:dyDescent="0.25">
      <c r="A45" s="9" t="s">
        <v>23</v>
      </c>
      <c r="B45" s="10" t="s">
        <v>24</v>
      </c>
      <c r="C45" s="10" t="s">
        <v>25</v>
      </c>
      <c r="D45" s="9" t="s">
        <v>87</v>
      </c>
      <c r="E45" s="10" t="s">
        <v>88</v>
      </c>
      <c r="F45" s="10" t="s">
        <v>51</v>
      </c>
      <c r="G45" s="10">
        <v>69</v>
      </c>
      <c r="H45" s="10" t="s">
        <v>19</v>
      </c>
      <c r="I45" s="11">
        <v>1590</v>
      </c>
      <c r="J45" s="12">
        <v>4</v>
      </c>
      <c r="K45" s="7"/>
      <c r="L45" s="13">
        <f t="shared" si="0"/>
        <v>0</v>
      </c>
      <c r="M45" s="13">
        <f t="shared" si="1"/>
        <v>0</v>
      </c>
      <c r="FN45" s="2"/>
      <c r="FO45" s="2"/>
      <c r="FP45" s="2"/>
      <c r="FQ45" s="2"/>
      <c r="FR45" s="2"/>
    </row>
    <row r="46" spans="1:174" s="3" customFormat="1" ht="19.5" customHeight="1" x14ac:dyDescent="0.25">
      <c r="A46" s="9" t="s">
        <v>23</v>
      </c>
      <c r="B46" s="10" t="s">
        <v>24</v>
      </c>
      <c r="C46" s="10" t="s">
        <v>25</v>
      </c>
      <c r="D46" s="9" t="s">
        <v>39</v>
      </c>
      <c r="E46" s="10" t="s">
        <v>40</v>
      </c>
      <c r="F46" s="10" t="s">
        <v>56</v>
      </c>
      <c r="G46" s="10">
        <v>69</v>
      </c>
      <c r="H46" s="10" t="s">
        <v>19</v>
      </c>
      <c r="I46" s="11">
        <v>895</v>
      </c>
      <c r="J46" s="12">
        <v>2</v>
      </c>
      <c r="K46" s="7"/>
      <c r="L46" s="13">
        <f t="shared" si="0"/>
        <v>0</v>
      </c>
      <c r="M46" s="13">
        <f t="shared" si="1"/>
        <v>0</v>
      </c>
      <c r="FN46" s="2"/>
      <c r="FO46" s="2"/>
      <c r="FP46" s="2"/>
      <c r="FQ46" s="2"/>
      <c r="FR46" s="2"/>
    </row>
    <row r="47" spans="1:174" s="3" customFormat="1" ht="19.5" customHeight="1" x14ac:dyDescent="0.25">
      <c r="A47" s="9" t="s">
        <v>23</v>
      </c>
      <c r="B47" s="10" t="s">
        <v>24</v>
      </c>
      <c r="C47" s="10" t="s">
        <v>25</v>
      </c>
      <c r="D47" s="9" t="s">
        <v>16</v>
      </c>
      <c r="E47" s="10" t="s">
        <v>17</v>
      </c>
      <c r="F47" s="10" t="s">
        <v>18</v>
      </c>
      <c r="G47" s="10">
        <v>6</v>
      </c>
      <c r="H47" s="10" t="s">
        <v>19</v>
      </c>
      <c r="I47" s="11">
        <v>678</v>
      </c>
      <c r="J47" s="12">
        <v>2</v>
      </c>
      <c r="K47" s="7"/>
      <c r="L47" s="13">
        <f t="shared" si="0"/>
        <v>0</v>
      </c>
      <c r="M47" s="13">
        <f t="shared" si="1"/>
        <v>0</v>
      </c>
      <c r="FN47" s="2"/>
      <c r="FO47" s="2"/>
      <c r="FP47" s="2"/>
      <c r="FQ47" s="2"/>
      <c r="FR47" s="2"/>
    </row>
    <row r="48" spans="1:174" s="3" customFormat="1" ht="19.5" customHeight="1" x14ac:dyDescent="0.25">
      <c r="A48" s="9" t="s">
        <v>23</v>
      </c>
      <c r="B48" s="10" t="s">
        <v>24</v>
      </c>
      <c r="C48" s="10" t="s">
        <v>25</v>
      </c>
      <c r="D48" s="9" t="s">
        <v>89</v>
      </c>
      <c r="E48" s="10" t="s">
        <v>42</v>
      </c>
      <c r="F48" s="10" t="s">
        <v>38</v>
      </c>
      <c r="G48" s="10">
        <v>38</v>
      </c>
      <c r="H48" s="10" t="s">
        <v>19</v>
      </c>
      <c r="I48" s="11">
        <v>2785</v>
      </c>
      <c r="J48" s="12">
        <v>6</v>
      </c>
      <c r="K48" s="7"/>
      <c r="L48" s="13">
        <f t="shared" si="0"/>
        <v>0</v>
      </c>
      <c r="M48" s="13">
        <f t="shared" si="1"/>
        <v>0</v>
      </c>
      <c r="FN48" s="2"/>
      <c r="FO48" s="2"/>
      <c r="FP48" s="2"/>
      <c r="FQ48" s="2"/>
      <c r="FR48" s="2"/>
    </row>
    <row r="49" spans="1:174" s="3" customFormat="1" ht="19.5" customHeight="1" x14ac:dyDescent="0.25">
      <c r="A49" s="9" t="s">
        <v>23</v>
      </c>
      <c r="B49" s="10" t="s">
        <v>24</v>
      </c>
      <c r="C49" s="10" t="s">
        <v>25</v>
      </c>
      <c r="D49" s="9" t="s">
        <v>66</v>
      </c>
      <c r="E49" s="10" t="s">
        <v>67</v>
      </c>
      <c r="F49" s="10" t="s">
        <v>68</v>
      </c>
      <c r="G49" s="10">
        <v>81</v>
      </c>
      <c r="H49" s="10" t="s">
        <v>19</v>
      </c>
      <c r="I49" s="11">
        <v>211</v>
      </c>
      <c r="J49" s="12">
        <v>1</v>
      </c>
      <c r="K49" s="7"/>
      <c r="L49" s="13">
        <f t="shared" si="0"/>
        <v>0</v>
      </c>
      <c r="M49" s="13">
        <f t="shared" si="1"/>
        <v>0</v>
      </c>
      <c r="FN49" s="2"/>
      <c r="FO49" s="2"/>
      <c r="FP49" s="2"/>
      <c r="FQ49" s="2"/>
      <c r="FR49" s="2"/>
    </row>
    <row r="50" spans="1:174" s="3" customFormat="1" ht="19.5" customHeight="1" x14ac:dyDescent="0.25">
      <c r="A50" s="9" t="s">
        <v>23</v>
      </c>
      <c r="B50" s="10" t="s">
        <v>24</v>
      </c>
      <c r="C50" s="10" t="s">
        <v>25</v>
      </c>
      <c r="D50" s="9" t="s">
        <v>57</v>
      </c>
      <c r="E50" s="10" t="s">
        <v>58</v>
      </c>
      <c r="F50" s="10" t="s">
        <v>38</v>
      </c>
      <c r="G50" s="10">
        <v>2</v>
      </c>
      <c r="H50" s="10" t="s">
        <v>19</v>
      </c>
      <c r="I50" s="11">
        <v>2725</v>
      </c>
      <c r="J50" s="12">
        <v>6</v>
      </c>
      <c r="K50" s="7"/>
      <c r="L50" s="13">
        <f t="shared" si="0"/>
        <v>0</v>
      </c>
      <c r="M50" s="13">
        <f t="shared" si="1"/>
        <v>0</v>
      </c>
      <c r="FN50" s="2"/>
      <c r="FO50" s="2"/>
      <c r="FP50" s="2"/>
      <c r="FQ50" s="2"/>
      <c r="FR50" s="2"/>
    </row>
    <row r="51" spans="1:174" s="3" customFormat="1" ht="19.5" customHeight="1" x14ac:dyDescent="0.25">
      <c r="A51" s="9" t="s">
        <v>23</v>
      </c>
      <c r="B51" s="10" t="s">
        <v>24</v>
      </c>
      <c r="C51" s="10" t="s">
        <v>25</v>
      </c>
      <c r="D51" s="9" t="s">
        <v>90</v>
      </c>
      <c r="E51" s="10" t="s">
        <v>91</v>
      </c>
      <c r="F51" s="10" t="s">
        <v>51</v>
      </c>
      <c r="G51" s="10">
        <v>1</v>
      </c>
      <c r="H51" s="10" t="s">
        <v>19</v>
      </c>
      <c r="I51" s="11">
        <v>1582</v>
      </c>
      <c r="J51" s="12">
        <v>4</v>
      </c>
      <c r="K51" s="7"/>
      <c r="L51" s="13">
        <f t="shared" si="0"/>
        <v>0</v>
      </c>
      <c r="M51" s="13">
        <f t="shared" si="1"/>
        <v>0</v>
      </c>
      <c r="FN51" s="2"/>
      <c r="FO51" s="2"/>
      <c r="FP51" s="2"/>
      <c r="FQ51" s="2"/>
      <c r="FR51" s="2"/>
    </row>
    <row r="52" spans="1:174" s="3" customFormat="1" ht="19.5" customHeight="1" x14ac:dyDescent="0.25">
      <c r="A52" s="9" t="s">
        <v>23</v>
      </c>
      <c r="B52" s="10" t="s">
        <v>24</v>
      </c>
      <c r="C52" s="10" t="s">
        <v>25</v>
      </c>
      <c r="D52" s="9" t="s">
        <v>59</v>
      </c>
      <c r="E52" s="10" t="s">
        <v>52</v>
      </c>
      <c r="F52" s="10" t="s">
        <v>53</v>
      </c>
      <c r="G52" s="10">
        <v>1</v>
      </c>
      <c r="H52" s="10" t="s">
        <v>19</v>
      </c>
      <c r="I52" s="11">
        <v>878</v>
      </c>
      <c r="J52" s="12">
        <v>2</v>
      </c>
      <c r="K52" s="7"/>
      <c r="L52" s="13">
        <f t="shared" si="0"/>
        <v>0</v>
      </c>
      <c r="M52" s="13">
        <f t="shared" si="1"/>
        <v>0</v>
      </c>
      <c r="FN52" s="2"/>
      <c r="FO52" s="2"/>
      <c r="FP52" s="2"/>
      <c r="FQ52" s="2"/>
      <c r="FR52" s="2"/>
    </row>
    <row r="53" spans="1:174" s="3" customFormat="1" ht="19.5" customHeight="1" x14ac:dyDescent="0.25">
      <c r="A53" s="9" t="s">
        <v>23</v>
      </c>
      <c r="B53" s="10" t="s">
        <v>24</v>
      </c>
      <c r="C53" s="10" t="s">
        <v>25</v>
      </c>
      <c r="D53" s="9" t="s">
        <v>60</v>
      </c>
      <c r="E53" s="10" t="s">
        <v>61</v>
      </c>
      <c r="F53" s="10" t="s">
        <v>38</v>
      </c>
      <c r="G53" s="10">
        <v>2</v>
      </c>
      <c r="H53" s="10" t="s">
        <v>19</v>
      </c>
      <c r="I53" s="11">
        <v>2799</v>
      </c>
      <c r="J53" s="12">
        <v>6</v>
      </c>
      <c r="K53" s="7"/>
      <c r="L53" s="13">
        <f t="shared" si="0"/>
        <v>0</v>
      </c>
      <c r="M53" s="13">
        <f t="shared" si="1"/>
        <v>0</v>
      </c>
      <c r="FN53" s="2"/>
      <c r="FO53" s="2"/>
      <c r="FP53" s="2"/>
      <c r="FQ53" s="2"/>
      <c r="FR53" s="2"/>
    </row>
    <row r="54" spans="1:174" s="3" customFormat="1" ht="19.5" customHeight="1" x14ac:dyDescent="0.25">
      <c r="A54" s="9" t="s">
        <v>23</v>
      </c>
      <c r="B54" s="10" t="s">
        <v>24</v>
      </c>
      <c r="C54" s="10" t="s">
        <v>25</v>
      </c>
      <c r="D54" s="9" t="s">
        <v>92</v>
      </c>
      <c r="E54" s="10" t="s">
        <v>93</v>
      </c>
      <c r="F54" s="10" t="s">
        <v>94</v>
      </c>
      <c r="G54" s="10">
        <v>5</v>
      </c>
      <c r="H54" s="10" t="s">
        <v>19</v>
      </c>
      <c r="I54" s="11">
        <v>471</v>
      </c>
      <c r="J54" s="12">
        <v>1</v>
      </c>
      <c r="K54" s="7"/>
      <c r="L54" s="13">
        <f t="shared" si="0"/>
        <v>0</v>
      </c>
      <c r="M54" s="13">
        <f t="shared" si="1"/>
        <v>0</v>
      </c>
      <c r="FN54" s="2"/>
      <c r="FO54" s="2"/>
      <c r="FP54" s="2"/>
      <c r="FQ54" s="2"/>
      <c r="FR54" s="2"/>
    </row>
    <row r="55" spans="1:174" s="3" customFormat="1" ht="19.5" customHeight="1" x14ac:dyDescent="0.25">
      <c r="A55" s="9" t="s">
        <v>95</v>
      </c>
      <c r="B55" s="10" t="s">
        <v>96</v>
      </c>
      <c r="C55" s="10" t="s">
        <v>28</v>
      </c>
      <c r="D55" s="9" t="s">
        <v>16</v>
      </c>
      <c r="E55" s="10" t="s">
        <v>17</v>
      </c>
      <c r="F55" s="10" t="s">
        <v>18</v>
      </c>
      <c r="G55" s="10">
        <v>92</v>
      </c>
      <c r="H55" s="10" t="s">
        <v>19</v>
      </c>
      <c r="I55" s="11">
        <v>225</v>
      </c>
      <c r="J55" s="12">
        <v>1</v>
      </c>
      <c r="K55" s="7"/>
      <c r="L55" s="13">
        <f t="shared" si="0"/>
        <v>0</v>
      </c>
      <c r="M55" s="13">
        <f t="shared" si="1"/>
        <v>0</v>
      </c>
      <c r="FN55" s="2"/>
      <c r="FO55" s="2"/>
      <c r="FP55" s="2"/>
      <c r="FQ55" s="2"/>
      <c r="FR55" s="2"/>
    </row>
    <row r="56" spans="1:174" s="3" customFormat="1" ht="19.5" customHeight="1" x14ac:dyDescent="0.25">
      <c r="A56" s="9" t="s">
        <v>97</v>
      </c>
      <c r="B56" s="10" t="s">
        <v>98</v>
      </c>
      <c r="C56" s="10" t="s">
        <v>33</v>
      </c>
      <c r="D56" s="9" t="s">
        <v>46</v>
      </c>
      <c r="E56" s="10" t="s">
        <v>47</v>
      </c>
      <c r="F56" s="10" t="s">
        <v>48</v>
      </c>
      <c r="G56" s="10">
        <v>1</v>
      </c>
      <c r="H56" s="10" t="s">
        <v>19</v>
      </c>
      <c r="I56" s="11">
        <v>636</v>
      </c>
      <c r="J56" s="12">
        <v>2</v>
      </c>
      <c r="K56" s="7"/>
      <c r="L56" s="13">
        <f t="shared" si="0"/>
        <v>0</v>
      </c>
      <c r="M56" s="13">
        <f t="shared" si="1"/>
        <v>0</v>
      </c>
      <c r="FN56" s="2"/>
      <c r="FO56" s="2"/>
      <c r="FP56" s="2"/>
      <c r="FQ56" s="2"/>
      <c r="FR56" s="2"/>
    </row>
    <row r="57" spans="1:174" s="3" customFormat="1" ht="19.5" customHeight="1" x14ac:dyDescent="0.25">
      <c r="A57" s="9" t="s">
        <v>97</v>
      </c>
      <c r="B57" s="10" t="s">
        <v>98</v>
      </c>
      <c r="C57" s="10" t="s">
        <v>33</v>
      </c>
      <c r="D57" s="9" t="s">
        <v>86</v>
      </c>
      <c r="E57" s="10" t="s">
        <v>63</v>
      </c>
      <c r="F57" s="10" t="s">
        <v>18</v>
      </c>
      <c r="G57" s="10">
        <v>38</v>
      </c>
      <c r="H57" s="10" t="s">
        <v>19</v>
      </c>
      <c r="I57" s="11">
        <v>32</v>
      </c>
      <c r="J57" s="12">
        <v>1</v>
      </c>
      <c r="K57" s="7"/>
      <c r="L57" s="13">
        <f t="shared" si="0"/>
        <v>0</v>
      </c>
      <c r="M57" s="13">
        <f t="shared" si="1"/>
        <v>0</v>
      </c>
      <c r="FN57" s="2"/>
      <c r="FO57" s="2"/>
      <c r="FP57" s="2"/>
      <c r="FQ57" s="2"/>
      <c r="FR57" s="2"/>
    </row>
    <row r="58" spans="1:174" s="3" customFormat="1" ht="19.5" customHeight="1" x14ac:dyDescent="0.25">
      <c r="A58" s="9" t="s">
        <v>97</v>
      </c>
      <c r="B58" s="10" t="s">
        <v>98</v>
      </c>
      <c r="C58" s="10" t="s">
        <v>33</v>
      </c>
      <c r="D58" s="9" t="s">
        <v>87</v>
      </c>
      <c r="E58" s="10" t="s">
        <v>88</v>
      </c>
      <c r="F58" s="10" t="s">
        <v>51</v>
      </c>
      <c r="G58" s="10">
        <v>5</v>
      </c>
      <c r="H58" s="10" t="s">
        <v>19</v>
      </c>
      <c r="I58" s="11">
        <v>848</v>
      </c>
      <c r="J58" s="12">
        <v>2</v>
      </c>
      <c r="K58" s="7"/>
      <c r="L58" s="13">
        <f t="shared" si="0"/>
        <v>0</v>
      </c>
      <c r="M58" s="13">
        <f t="shared" si="1"/>
        <v>0</v>
      </c>
      <c r="FN58" s="2"/>
      <c r="FO58" s="2"/>
      <c r="FP58" s="2"/>
      <c r="FQ58" s="2"/>
      <c r="FR58" s="2"/>
    </row>
    <row r="59" spans="1:174" s="3" customFormat="1" ht="19.5" customHeight="1" x14ac:dyDescent="0.25">
      <c r="A59" s="9" t="s">
        <v>97</v>
      </c>
      <c r="B59" s="10" t="s">
        <v>98</v>
      </c>
      <c r="C59" s="10" t="s">
        <v>33</v>
      </c>
      <c r="D59" s="9" t="s">
        <v>39</v>
      </c>
      <c r="E59" s="10" t="s">
        <v>40</v>
      </c>
      <c r="F59" s="10" t="s">
        <v>56</v>
      </c>
      <c r="G59" s="10">
        <v>3</v>
      </c>
      <c r="H59" s="10" t="s">
        <v>19</v>
      </c>
      <c r="I59" s="11">
        <v>395</v>
      </c>
      <c r="J59" s="12">
        <v>1</v>
      </c>
      <c r="K59" s="7"/>
      <c r="L59" s="13">
        <f t="shared" si="0"/>
        <v>0</v>
      </c>
      <c r="M59" s="13">
        <f t="shared" si="1"/>
        <v>0</v>
      </c>
      <c r="FN59" s="2"/>
      <c r="FO59" s="2"/>
      <c r="FP59" s="2"/>
      <c r="FQ59" s="2"/>
      <c r="FR59" s="2"/>
    </row>
    <row r="60" spans="1:174" s="3" customFormat="1" ht="19.5" customHeight="1" x14ac:dyDescent="0.25">
      <c r="A60" s="9" t="s">
        <v>29</v>
      </c>
      <c r="B60" s="10" t="s">
        <v>30</v>
      </c>
      <c r="C60" s="10" t="s">
        <v>31</v>
      </c>
      <c r="D60" s="9" t="s">
        <v>23</v>
      </c>
      <c r="E60" s="10" t="s">
        <v>24</v>
      </c>
      <c r="F60" s="10" t="s">
        <v>25</v>
      </c>
      <c r="G60" s="10">
        <v>3</v>
      </c>
      <c r="H60" s="10" t="s">
        <v>19</v>
      </c>
      <c r="I60" s="11">
        <v>624</v>
      </c>
      <c r="J60" s="12">
        <v>2</v>
      </c>
      <c r="K60" s="7"/>
      <c r="L60" s="13">
        <f t="shared" si="0"/>
        <v>0</v>
      </c>
      <c r="M60" s="13">
        <f t="shared" si="1"/>
        <v>0</v>
      </c>
      <c r="FN60" s="2"/>
      <c r="FO60" s="2"/>
      <c r="FP60" s="2"/>
      <c r="FQ60" s="2"/>
      <c r="FR60" s="2"/>
    </row>
    <row r="61" spans="1:174" s="3" customFormat="1" ht="19.5" customHeight="1" x14ac:dyDescent="0.25">
      <c r="A61" s="9" t="s">
        <v>99</v>
      </c>
      <c r="B61" s="10" t="s">
        <v>100</v>
      </c>
      <c r="C61" s="10" t="s">
        <v>15</v>
      </c>
      <c r="D61" s="9" t="s">
        <v>29</v>
      </c>
      <c r="E61" s="10" t="s">
        <v>30</v>
      </c>
      <c r="F61" s="10" t="s">
        <v>31</v>
      </c>
      <c r="G61" s="10">
        <v>2</v>
      </c>
      <c r="H61" s="10" t="s">
        <v>19</v>
      </c>
      <c r="I61" s="11">
        <v>684</v>
      </c>
      <c r="J61" s="12">
        <v>2</v>
      </c>
      <c r="K61" s="7"/>
      <c r="L61" s="13">
        <f t="shared" si="0"/>
        <v>0</v>
      </c>
      <c r="M61" s="13">
        <f t="shared" si="1"/>
        <v>0</v>
      </c>
      <c r="FN61" s="2"/>
      <c r="FO61" s="2"/>
      <c r="FP61" s="2"/>
      <c r="FQ61" s="2"/>
      <c r="FR61" s="2"/>
    </row>
    <row r="62" spans="1:174" s="3" customFormat="1" ht="19.5" customHeight="1" x14ac:dyDescent="0.25">
      <c r="A62" s="9" t="s">
        <v>101</v>
      </c>
      <c r="B62" s="10" t="s">
        <v>102</v>
      </c>
      <c r="C62" s="10" t="s">
        <v>51</v>
      </c>
      <c r="D62" s="9" t="s">
        <v>16</v>
      </c>
      <c r="E62" s="10" t="s">
        <v>17</v>
      </c>
      <c r="F62" s="10" t="s">
        <v>18</v>
      </c>
      <c r="G62" s="10">
        <v>1</v>
      </c>
      <c r="H62" s="10" t="s">
        <v>19</v>
      </c>
      <c r="I62" s="11">
        <v>1471</v>
      </c>
      <c r="J62" s="12">
        <v>3</v>
      </c>
      <c r="K62" s="7"/>
      <c r="L62" s="13">
        <f t="shared" si="0"/>
        <v>0</v>
      </c>
      <c r="M62" s="13">
        <f t="shared" si="1"/>
        <v>0</v>
      </c>
      <c r="FN62" s="2"/>
      <c r="FO62" s="2"/>
      <c r="FP62" s="2"/>
      <c r="FQ62" s="2"/>
      <c r="FR62" s="2"/>
    </row>
    <row r="63" spans="1:174" s="3" customFormat="1" ht="19.5" customHeight="1" x14ac:dyDescent="0.25">
      <c r="A63" s="9">
        <v>46516</v>
      </c>
      <c r="B63" s="10" t="s">
        <v>103</v>
      </c>
      <c r="C63" s="10" t="s">
        <v>104</v>
      </c>
      <c r="D63" s="9">
        <v>8512</v>
      </c>
      <c r="E63" s="10" t="s">
        <v>24</v>
      </c>
      <c r="F63" s="10" t="s">
        <v>25</v>
      </c>
      <c r="G63" s="10">
        <v>1</v>
      </c>
      <c r="H63" s="10" t="s">
        <v>19</v>
      </c>
      <c r="I63" s="11">
        <v>692</v>
      </c>
      <c r="J63" s="12">
        <v>2</v>
      </c>
      <c r="K63" s="7"/>
      <c r="L63" s="13">
        <f t="shared" si="0"/>
        <v>0</v>
      </c>
      <c r="M63" s="13">
        <f t="shared" si="1"/>
        <v>0</v>
      </c>
      <c r="FN63" s="2"/>
      <c r="FO63" s="2"/>
      <c r="FP63" s="2"/>
      <c r="FQ63" s="2"/>
      <c r="FR63" s="2"/>
    </row>
    <row r="64" spans="1:174" s="3" customFormat="1" ht="19.5" customHeight="1" x14ac:dyDescent="0.25">
      <c r="A64" s="9">
        <v>46516</v>
      </c>
      <c r="B64" s="10" t="s">
        <v>103</v>
      </c>
      <c r="C64" s="10" t="s">
        <v>104</v>
      </c>
      <c r="D64" s="9">
        <v>53158</v>
      </c>
      <c r="E64" s="10" t="s">
        <v>52</v>
      </c>
      <c r="F64" s="10" t="s">
        <v>53</v>
      </c>
      <c r="G64" s="10">
        <v>1</v>
      </c>
      <c r="H64" s="10" t="s">
        <v>19</v>
      </c>
      <c r="I64" s="11">
        <v>176</v>
      </c>
      <c r="J64" s="12">
        <v>1</v>
      </c>
      <c r="K64" s="7"/>
      <c r="L64" s="13">
        <f t="shared" si="0"/>
        <v>0</v>
      </c>
      <c r="M64" s="13">
        <f t="shared" si="1"/>
        <v>0</v>
      </c>
      <c r="FN64" s="2"/>
      <c r="FO64" s="2"/>
      <c r="FP64" s="2"/>
      <c r="FQ64" s="2"/>
      <c r="FR64" s="2"/>
    </row>
    <row r="65" spans="1:174" s="3" customFormat="1" ht="19.5" customHeight="1" x14ac:dyDescent="0.25">
      <c r="A65" s="9" t="s">
        <v>105</v>
      </c>
      <c r="B65" s="10" t="s">
        <v>106</v>
      </c>
      <c r="C65" s="10" t="s">
        <v>107</v>
      </c>
      <c r="D65" s="9" t="s">
        <v>29</v>
      </c>
      <c r="E65" s="10" t="s">
        <v>30</v>
      </c>
      <c r="F65" s="10" t="s">
        <v>31</v>
      </c>
      <c r="G65" s="10">
        <v>9</v>
      </c>
      <c r="H65" s="10" t="s">
        <v>19</v>
      </c>
      <c r="I65" s="11">
        <v>268</v>
      </c>
      <c r="J65" s="12">
        <v>1</v>
      </c>
      <c r="K65" s="7"/>
      <c r="L65" s="13">
        <f t="shared" si="0"/>
        <v>0</v>
      </c>
      <c r="M65" s="13">
        <f t="shared" si="1"/>
        <v>0</v>
      </c>
      <c r="FN65" s="2"/>
      <c r="FO65" s="2"/>
      <c r="FP65" s="2"/>
      <c r="FQ65" s="2"/>
      <c r="FR65" s="2"/>
    </row>
    <row r="66" spans="1:174" s="3" customFormat="1" ht="19.5" customHeight="1" x14ac:dyDescent="0.25">
      <c r="A66" s="9" t="s">
        <v>108</v>
      </c>
      <c r="B66" s="10" t="s">
        <v>109</v>
      </c>
      <c r="C66" s="10" t="s">
        <v>15</v>
      </c>
      <c r="D66" s="9" t="s">
        <v>29</v>
      </c>
      <c r="E66" s="10" t="s">
        <v>30</v>
      </c>
      <c r="F66" s="10" t="s">
        <v>31</v>
      </c>
      <c r="G66" s="10">
        <v>1</v>
      </c>
      <c r="H66" s="10" t="s">
        <v>19</v>
      </c>
      <c r="I66" s="11">
        <v>662</v>
      </c>
      <c r="J66" s="12">
        <v>2</v>
      </c>
      <c r="K66" s="7"/>
      <c r="L66" s="13">
        <f t="shared" ref="L66:L129" si="2">$K66*$I66</f>
        <v>0</v>
      </c>
      <c r="M66" s="13">
        <f t="shared" ref="M66:M129" si="3">$L66*$G66</f>
        <v>0</v>
      </c>
      <c r="FN66" s="2"/>
      <c r="FO66" s="2"/>
      <c r="FP66" s="2"/>
      <c r="FQ66" s="2"/>
      <c r="FR66" s="2"/>
    </row>
    <row r="67" spans="1:174" s="3" customFormat="1" ht="19.5" customHeight="1" x14ac:dyDescent="0.25">
      <c r="A67" s="9" t="s">
        <v>110</v>
      </c>
      <c r="B67" s="10" t="s">
        <v>111</v>
      </c>
      <c r="C67" s="10" t="s">
        <v>31</v>
      </c>
      <c r="D67" s="9" t="s">
        <v>23</v>
      </c>
      <c r="E67" s="10" t="s">
        <v>24</v>
      </c>
      <c r="F67" s="10" t="s">
        <v>25</v>
      </c>
      <c r="G67" s="10">
        <v>4</v>
      </c>
      <c r="H67" s="10" t="s">
        <v>19</v>
      </c>
      <c r="I67" s="11">
        <v>661</v>
      </c>
      <c r="J67" s="12">
        <v>2</v>
      </c>
      <c r="K67" s="7"/>
      <c r="L67" s="13">
        <f t="shared" si="2"/>
        <v>0</v>
      </c>
      <c r="M67" s="13">
        <f t="shared" si="3"/>
        <v>0</v>
      </c>
      <c r="FN67" s="2"/>
      <c r="FO67" s="2"/>
      <c r="FP67" s="2"/>
      <c r="FQ67" s="2"/>
      <c r="FR67" s="2"/>
    </row>
    <row r="68" spans="1:174" s="3" customFormat="1" ht="19.5" customHeight="1" x14ac:dyDescent="0.25">
      <c r="A68" s="9" t="s">
        <v>110</v>
      </c>
      <c r="B68" s="10" t="s">
        <v>111</v>
      </c>
      <c r="C68" s="10" t="s">
        <v>31</v>
      </c>
      <c r="D68" s="9">
        <v>76052</v>
      </c>
      <c r="E68" s="10" t="s">
        <v>50</v>
      </c>
      <c r="F68" s="10" t="s">
        <v>51</v>
      </c>
      <c r="G68" s="10">
        <v>4</v>
      </c>
      <c r="H68" s="10" t="s">
        <v>19</v>
      </c>
      <c r="I68" s="11">
        <v>1204</v>
      </c>
      <c r="J68" s="12">
        <v>3</v>
      </c>
      <c r="K68" s="7"/>
      <c r="L68" s="13">
        <f t="shared" si="2"/>
        <v>0</v>
      </c>
      <c r="M68" s="13">
        <f t="shared" si="3"/>
        <v>0</v>
      </c>
      <c r="FN68" s="2"/>
      <c r="FO68" s="2"/>
      <c r="FP68" s="2"/>
      <c r="FQ68" s="2"/>
      <c r="FR68" s="2"/>
    </row>
    <row r="69" spans="1:174" s="3" customFormat="1" ht="19.5" customHeight="1" x14ac:dyDescent="0.25">
      <c r="A69" s="9" t="s">
        <v>110</v>
      </c>
      <c r="B69" s="10" t="s">
        <v>111</v>
      </c>
      <c r="C69" s="10" t="s">
        <v>31</v>
      </c>
      <c r="D69" s="9" t="s">
        <v>39</v>
      </c>
      <c r="E69" s="10" t="s">
        <v>40</v>
      </c>
      <c r="F69" s="10" t="s">
        <v>56</v>
      </c>
      <c r="G69" s="10">
        <v>3</v>
      </c>
      <c r="H69" s="10" t="s">
        <v>19</v>
      </c>
      <c r="I69" s="11">
        <v>1014</v>
      </c>
      <c r="J69" s="12">
        <v>3</v>
      </c>
      <c r="K69" s="7"/>
      <c r="L69" s="13">
        <f t="shared" si="2"/>
        <v>0</v>
      </c>
      <c r="M69" s="13">
        <f t="shared" si="3"/>
        <v>0</v>
      </c>
      <c r="FN69" s="2"/>
      <c r="FO69" s="2"/>
      <c r="FP69" s="2"/>
      <c r="FQ69" s="2"/>
      <c r="FR69" s="2"/>
    </row>
    <row r="70" spans="1:174" s="3" customFormat="1" ht="19.5" customHeight="1" x14ac:dyDescent="0.25">
      <c r="A70" s="9" t="s">
        <v>110</v>
      </c>
      <c r="B70" s="10" t="s">
        <v>111</v>
      </c>
      <c r="C70" s="10" t="s">
        <v>31</v>
      </c>
      <c r="D70" s="9" t="s">
        <v>16</v>
      </c>
      <c r="E70" s="10" t="s">
        <v>17</v>
      </c>
      <c r="F70" s="10" t="s">
        <v>18</v>
      </c>
      <c r="G70" s="10">
        <v>3</v>
      </c>
      <c r="H70" s="10" t="s">
        <v>19</v>
      </c>
      <c r="I70" s="11">
        <v>552</v>
      </c>
      <c r="J70" s="12">
        <v>2</v>
      </c>
      <c r="K70" s="7"/>
      <c r="L70" s="13">
        <f t="shared" si="2"/>
        <v>0</v>
      </c>
      <c r="M70" s="13">
        <f t="shared" si="3"/>
        <v>0</v>
      </c>
      <c r="FN70" s="2"/>
      <c r="FO70" s="2"/>
      <c r="FP70" s="2"/>
      <c r="FQ70" s="2"/>
      <c r="FR70" s="2"/>
    </row>
    <row r="71" spans="1:174" s="3" customFormat="1" ht="19.5" customHeight="1" x14ac:dyDescent="0.25">
      <c r="A71" s="9" t="s">
        <v>110</v>
      </c>
      <c r="B71" s="10" t="s">
        <v>111</v>
      </c>
      <c r="C71" s="10" t="s">
        <v>31</v>
      </c>
      <c r="D71" s="9">
        <v>91761</v>
      </c>
      <c r="E71" s="10" t="s">
        <v>58</v>
      </c>
      <c r="F71" s="10" t="s">
        <v>38</v>
      </c>
      <c r="G71" s="10">
        <v>2</v>
      </c>
      <c r="H71" s="10" t="s">
        <v>19</v>
      </c>
      <c r="I71" s="11">
        <v>2204</v>
      </c>
      <c r="J71" s="12">
        <v>5</v>
      </c>
      <c r="K71" s="7"/>
      <c r="L71" s="13">
        <f t="shared" si="2"/>
        <v>0</v>
      </c>
      <c r="M71" s="13">
        <f t="shared" si="3"/>
        <v>0</v>
      </c>
      <c r="FN71" s="2"/>
      <c r="FO71" s="2"/>
      <c r="FP71" s="2"/>
      <c r="FQ71" s="2"/>
      <c r="FR71" s="2"/>
    </row>
    <row r="72" spans="1:174" s="3" customFormat="1" ht="19.5" customHeight="1" x14ac:dyDescent="0.25">
      <c r="A72" s="9" t="s">
        <v>110</v>
      </c>
      <c r="B72" s="10" t="s">
        <v>111</v>
      </c>
      <c r="C72" s="10" t="s">
        <v>31</v>
      </c>
      <c r="D72" s="9" t="s">
        <v>59</v>
      </c>
      <c r="E72" s="10" t="s">
        <v>52</v>
      </c>
      <c r="F72" s="10" t="s">
        <v>53</v>
      </c>
      <c r="G72" s="10">
        <v>6</v>
      </c>
      <c r="H72" s="10" t="s">
        <v>19</v>
      </c>
      <c r="I72" s="11">
        <v>297</v>
      </c>
      <c r="J72" s="12">
        <v>1</v>
      </c>
      <c r="K72" s="7"/>
      <c r="L72" s="13">
        <f t="shared" si="2"/>
        <v>0</v>
      </c>
      <c r="M72" s="13">
        <f t="shared" si="3"/>
        <v>0</v>
      </c>
      <c r="FN72" s="2"/>
      <c r="FO72" s="2"/>
      <c r="FP72" s="2"/>
      <c r="FQ72" s="2"/>
      <c r="FR72" s="2"/>
    </row>
    <row r="73" spans="1:174" s="3" customFormat="1" ht="19.5" customHeight="1" x14ac:dyDescent="0.25">
      <c r="A73" s="9" t="s">
        <v>110</v>
      </c>
      <c r="B73" s="10" t="s">
        <v>111</v>
      </c>
      <c r="C73" s="10" t="s">
        <v>31</v>
      </c>
      <c r="D73" s="9" t="s">
        <v>60</v>
      </c>
      <c r="E73" s="10" t="s">
        <v>61</v>
      </c>
      <c r="F73" s="10" t="s">
        <v>38</v>
      </c>
      <c r="G73" s="10">
        <v>4</v>
      </c>
      <c r="H73" s="10" t="s">
        <v>19</v>
      </c>
      <c r="I73" s="11">
        <v>2256</v>
      </c>
      <c r="J73" s="12">
        <v>5</v>
      </c>
      <c r="K73" s="7"/>
      <c r="L73" s="13">
        <f t="shared" si="2"/>
        <v>0</v>
      </c>
      <c r="M73" s="13">
        <f t="shared" si="3"/>
        <v>0</v>
      </c>
      <c r="FN73" s="2"/>
      <c r="FO73" s="2"/>
      <c r="FP73" s="2"/>
      <c r="FQ73" s="2"/>
      <c r="FR73" s="2"/>
    </row>
    <row r="74" spans="1:174" s="3" customFormat="1" ht="19.5" customHeight="1" x14ac:dyDescent="0.25">
      <c r="A74" s="9">
        <v>40601</v>
      </c>
      <c r="B74" s="10" t="s">
        <v>112</v>
      </c>
      <c r="C74" s="10" t="s">
        <v>107</v>
      </c>
      <c r="D74" s="9">
        <v>48126</v>
      </c>
      <c r="E74" s="10" t="s">
        <v>30</v>
      </c>
      <c r="F74" s="10" t="s">
        <v>31</v>
      </c>
      <c r="G74" s="10">
        <v>3</v>
      </c>
      <c r="H74" s="10" t="s">
        <v>19</v>
      </c>
      <c r="I74" s="11">
        <v>351</v>
      </c>
      <c r="J74" s="12">
        <v>1</v>
      </c>
      <c r="K74" s="7"/>
      <c r="L74" s="13">
        <f t="shared" si="2"/>
        <v>0</v>
      </c>
      <c r="M74" s="13">
        <f t="shared" si="3"/>
        <v>0</v>
      </c>
      <c r="FN74" s="2"/>
      <c r="FO74" s="2"/>
      <c r="FP74" s="2"/>
      <c r="FQ74" s="2"/>
      <c r="FR74" s="2"/>
    </row>
    <row r="75" spans="1:174" s="3" customFormat="1" ht="19.5" customHeight="1" x14ac:dyDescent="0.25">
      <c r="A75" s="9" t="s">
        <v>113</v>
      </c>
      <c r="B75" s="10" t="s">
        <v>114</v>
      </c>
      <c r="C75" s="10" t="s">
        <v>28</v>
      </c>
      <c r="D75" s="9" t="s">
        <v>29</v>
      </c>
      <c r="E75" s="10" t="s">
        <v>30</v>
      </c>
      <c r="F75" s="10" t="s">
        <v>31</v>
      </c>
      <c r="G75" s="10">
        <v>1</v>
      </c>
      <c r="H75" s="10" t="s">
        <v>19</v>
      </c>
      <c r="I75" s="11">
        <v>708</v>
      </c>
      <c r="J75" s="12">
        <v>2</v>
      </c>
      <c r="K75" s="7"/>
      <c r="L75" s="13">
        <f t="shared" si="2"/>
        <v>0</v>
      </c>
      <c r="M75" s="13">
        <f t="shared" si="3"/>
        <v>0</v>
      </c>
      <c r="FN75" s="2"/>
      <c r="FO75" s="2"/>
      <c r="FP75" s="2"/>
      <c r="FQ75" s="2"/>
      <c r="FR75" s="2"/>
    </row>
    <row r="76" spans="1:174" s="3" customFormat="1" ht="19.5" customHeight="1" x14ac:dyDescent="0.25">
      <c r="A76" s="9" t="s">
        <v>115</v>
      </c>
      <c r="B76" s="10" t="s">
        <v>116</v>
      </c>
      <c r="C76" s="10" t="s">
        <v>18</v>
      </c>
      <c r="D76" s="9" t="s">
        <v>16</v>
      </c>
      <c r="E76" s="10" t="s">
        <v>17</v>
      </c>
      <c r="F76" s="10" t="s">
        <v>18</v>
      </c>
      <c r="G76" s="10">
        <v>26</v>
      </c>
      <c r="H76" s="10" t="s">
        <v>19</v>
      </c>
      <c r="I76" s="11">
        <v>157</v>
      </c>
      <c r="J76" s="12">
        <v>1</v>
      </c>
      <c r="K76" s="7"/>
      <c r="L76" s="13">
        <f t="shared" si="2"/>
        <v>0</v>
      </c>
      <c r="M76" s="13">
        <f t="shared" si="3"/>
        <v>0</v>
      </c>
      <c r="FN76" s="2"/>
      <c r="FO76" s="2"/>
      <c r="FP76" s="2"/>
      <c r="FQ76" s="2"/>
      <c r="FR76" s="2"/>
    </row>
    <row r="77" spans="1:174" s="3" customFormat="1" ht="19.5" customHeight="1" x14ac:dyDescent="0.25">
      <c r="A77" s="9" t="s">
        <v>49</v>
      </c>
      <c r="B77" s="10" t="s">
        <v>50</v>
      </c>
      <c r="C77" s="10" t="s">
        <v>51</v>
      </c>
      <c r="D77" s="9" t="s">
        <v>16</v>
      </c>
      <c r="E77" s="10" t="s">
        <v>17</v>
      </c>
      <c r="F77" s="10" t="s">
        <v>18</v>
      </c>
      <c r="G77" s="10">
        <v>1</v>
      </c>
      <c r="H77" s="10" t="s">
        <v>19</v>
      </c>
      <c r="I77" s="11">
        <v>868</v>
      </c>
      <c r="J77" s="12">
        <v>2</v>
      </c>
      <c r="K77" s="7"/>
      <c r="L77" s="13">
        <f t="shared" si="2"/>
        <v>0</v>
      </c>
      <c r="M77" s="13">
        <f t="shared" si="3"/>
        <v>0</v>
      </c>
      <c r="FN77" s="2"/>
      <c r="FO77" s="2"/>
      <c r="FP77" s="2"/>
      <c r="FQ77" s="2"/>
      <c r="FR77" s="2"/>
    </row>
    <row r="78" spans="1:174" s="3" customFormat="1" ht="19.5" customHeight="1" x14ac:dyDescent="0.25">
      <c r="A78" s="9" t="s">
        <v>49</v>
      </c>
      <c r="B78" s="10" t="s">
        <v>50</v>
      </c>
      <c r="C78" s="10" t="s">
        <v>51</v>
      </c>
      <c r="D78" s="9" t="s">
        <v>90</v>
      </c>
      <c r="E78" s="10" t="s">
        <v>91</v>
      </c>
      <c r="F78" s="10" t="s">
        <v>51</v>
      </c>
      <c r="G78" s="10">
        <v>3</v>
      </c>
      <c r="H78" s="10" t="s">
        <v>19</v>
      </c>
      <c r="I78" s="11">
        <v>302</v>
      </c>
      <c r="J78" s="12">
        <v>1</v>
      </c>
      <c r="K78" s="7"/>
      <c r="L78" s="13">
        <f t="shared" si="2"/>
        <v>0</v>
      </c>
      <c r="M78" s="13">
        <f t="shared" si="3"/>
        <v>0</v>
      </c>
      <c r="FN78" s="2"/>
      <c r="FO78" s="2"/>
      <c r="FP78" s="2"/>
      <c r="FQ78" s="2"/>
      <c r="FR78" s="2"/>
    </row>
    <row r="79" spans="1:174" s="3" customFormat="1" ht="19.5" customHeight="1" x14ac:dyDescent="0.25">
      <c r="A79" s="9" t="s">
        <v>49</v>
      </c>
      <c r="B79" s="10" t="s">
        <v>50</v>
      </c>
      <c r="C79" s="10" t="s">
        <v>51</v>
      </c>
      <c r="D79" s="9" t="s">
        <v>59</v>
      </c>
      <c r="E79" s="10" t="s">
        <v>52</v>
      </c>
      <c r="F79" s="10" t="s">
        <v>53</v>
      </c>
      <c r="G79" s="10">
        <v>6</v>
      </c>
      <c r="H79" s="10" t="s">
        <v>19</v>
      </c>
      <c r="I79" s="11">
        <v>998</v>
      </c>
      <c r="J79" s="12">
        <v>2</v>
      </c>
      <c r="K79" s="7"/>
      <c r="L79" s="13">
        <f t="shared" si="2"/>
        <v>0</v>
      </c>
      <c r="M79" s="13">
        <f t="shared" si="3"/>
        <v>0</v>
      </c>
      <c r="FN79" s="2"/>
      <c r="FO79" s="2"/>
      <c r="FP79" s="2"/>
      <c r="FQ79" s="2"/>
      <c r="FR79" s="2"/>
    </row>
    <row r="80" spans="1:174" s="3" customFormat="1" ht="19.5" customHeight="1" x14ac:dyDescent="0.25">
      <c r="A80" s="9" t="s">
        <v>117</v>
      </c>
      <c r="B80" s="10" t="s">
        <v>118</v>
      </c>
      <c r="C80" s="10" t="s">
        <v>119</v>
      </c>
      <c r="D80" s="9" t="s">
        <v>46</v>
      </c>
      <c r="E80" s="10" t="s">
        <v>47</v>
      </c>
      <c r="F80" s="10" t="s">
        <v>48</v>
      </c>
      <c r="G80" s="10">
        <v>7</v>
      </c>
      <c r="H80" s="10" t="s">
        <v>19</v>
      </c>
      <c r="I80" s="11">
        <v>244</v>
      </c>
      <c r="J80" s="12">
        <v>1</v>
      </c>
      <c r="K80" s="7"/>
      <c r="L80" s="13">
        <f t="shared" si="2"/>
        <v>0</v>
      </c>
      <c r="M80" s="13">
        <f t="shared" si="3"/>
        <v>0</v>
      </c>
      <c r="FN80" s="2"/>
      <c r="FO80" s="2"/>
      <c r="FP80" s="2"/>
      <c r="FQ80" s="2"/>
      <c r="FR80" s="2"/>
    </row>
    <row r="81" spans="1:174" s="3" customFormat="1" ht="19.5" customHeight="1" x14ac:dyDescent="0.25">
      <c r="A81" s="9" t="s">
        <v>117</v>
      </c>
      <c r="B81" s="10" t="s">
        <v>118</v>
      </c>
      <c r="C81" s="10" t="s">
        <v>119</v>
      </c>
      <c r="D81" s="9" t="s">
        <v>85</v>
      </c>
      <c r="E81" s="10" t="s">
        <v>37</v>
      </c>
      <c r="F81" s="10" t="s">
        <v>38</v>
      </c>
      <c r="G81" s="10">
        <v>1</v>
      </c>
      <c r="H81" s="10" t="s">
        <v>19</v>
      </c>
      <c r="I81" s="11">
        <v>2922</v>
      </c>
      <c r="J81" s="12">
        <v>6</v>
      </c>
      <c r="K81" s="7"/>
      <c r="L81" s="13">
        <f t="shared" si="2"/>
        <v>0</v>
      </c>
      <c r="M81" s="13">
        <f t="shared" si="3"/>
        <v>0</v>
      </c>
      <c r="FN81" s="2"/>
      <c r="FO81" s="2"/>
      <c r="FP81" s="2"/>
      <c r="FQ81" s="2"/>
      <c r="FR81" s="2"/>
    </row>
    <row r="82" spans="1:174" s="3" customFormat="1" ht="19.5" customHeight="1" x14ac:dyDescent="0.25">
      <c r="A82" s="9" t="s">
        <v>117</v>
      </c>
      <c r="B82" s="10" t="s">
        <v>118</v>
      </c>
      <c r="C82" s="10" t="s">
        <v>119</v>
      </c>
      <c r="D82" s="9" t="s">
        <v>86</v>
      </c>
      <c r="E82" s="10" t="s">
        <v>63</v>
      </c>
      <c r="F82" s="10" t="s">
        <v>18</v>
      </c>
      <c r="G82" s="10">
        <v>23</v>
      </c>
      <c r="H82" s="10" t="s">
        <v>19</v>
      </c>
      <c r="I82" s="11">
        <v>869</v>
      </c>
      <c r="J82" s="12">
        <v>2</v>
      </c>
      <c r="K82" s="7"/>
      <c r="L82" s="13">
        <f t="shared" si="2"/>
        <v>0</v>
      </c>
      <c r="M82" s="13">
        <f t="shared" si="3"/>
        <v>0</v>
      </c>
      <c r="FN82" s="2"/>
      <c r="FO82" s="2"/>
      <c r="FP82" s="2"/>
      <c r="FQ82" s="2"/>
      <c r="FR82" s="2"/>
    </row>
    <row r="83" spans="1:174" s="3" customFormat="1" ht="19.5" customHeight="1" x14ac:dyDescent="0.25">
      <c r="A83" s="9" t="s">
        <v>117</v>
      </c>
      <c r="B83" s="10" t="s">
        <v>118</v>
      </c>
      <c r="C83" s="10" t="s">
        <v>119</v>
      </c>
      <c r="D83" s="9" t="s">
        <v>87</v>
      </c>
      <c r="E83" s="10" t="s">
        <v>88</v>
      </c>
      <c r="F83" s="10" t="s">
        <v>51</v>
      </c>
      <c r="G83" s="10">
        <v>3</v>
      </c>
      <c r="H83" s="10" t="s">
        <v>19</v>
      </c>
      <c r="I83" s="11">
        <v>1680</v>
      </c>
      <c r="J83" s="12">
        <v>4</v>
      </c>
      <c r="K83" s="7"/>
      <c r="L83" s="13">
        <f t="shared" si="2"/>
        <v>0</v>
      </c>
      <c r="M83" s="13">
        <f t="shared" si="3"/>
        <v>0</v>
      </c>
      <c r="FN83" s="2"/>
      <c r="FO83" s="2"/>
      <c r="FP83" s="2"/>
      <c r="FQ83" s="2"/>
      <c r="FR83" s="2"/>
    </row>
    <row r="84" spans="1:174" s="3" customFormat="1" ht="19.5" customHeight="1" x14ac:dyDescent="0.25">
      <c r="A84" s="9" t="s">
        <v>117</v>
      </c>
      <c r="B84" s="10" t="s">
        <v>118</v>
      </c>
      <c r="C84" s="10" t="s">
        <v>119</v>
      </c>
      <c r="D84" s="9" t="s">
        <v>39</v>
      </c>
      <c r="E84" s="10" t="s">
        <v>40</v>
      </c>
      <c r="F84" s="10" t="s">
        <v>56</v>
      </c>
      <c r="G84" s="10">
        <v>7</v>
      </c>
      <c r="H84" s="10" t="s">
        <v>19</v>
      </c>
      <c r="I84" s="11">
        <v>991</v>
      </c>
      <c r="J84" s="12">
        <v>2</v>
      </c>
      <c r="K84" s="7"/>
      <c r="L84" s="13">
        <f t="shared" si="2"/>
        <v>0</v>
      </c>
      <c r="M84" s="13">
        <f t="shared" si="3"/>
        <v>0</v>
      </c>
      <c r="FN84" s="2"/>
      <c r="FO84" s="2"/>
      <c r="FP84" s="2"/>
      <c r="FQ84" s="2"/>
      <c r="FR84" s="2"/>
    </row>
    <row r="85" spans="1:174" s="3" customFormat="1" ht="19.5" customHeight="1" x14ac:dyDescent="0.25">
      <c r="A85" s="9" t="s">
        <v>117</v>
      </c>
      <c r="B85" s="10" t="s">
        <v>118</v>
      </c>
      <c r="C85" s="10" t="s">
        <v>119</v>
      </c>
      <c r="D85" s="9" t="s">
        <v>64</v>
      </c>
      <c r="E85" s="10" t="s">
        <v>65</v>
      </c>
      <c r="F85" s="10" t="s">
        <v>51</v>
      </c>
      <c r="G85" s="10">
        <v>4</v>
      </c>
      <c r="H85" s="10" t="s">
        <v>19</v>
      </c>
      <c r="I85" s="11">
        <v>1632</v>
      </c>
      <c r="J85" s="12">
        <v>4</v>
      </c>
      <c r="K85" s="7"/>
      <c r="L85" s="13">
        <f t="shared" si="2"/>
        <v>0</v>
      </c>
      <c r="M85" s="13">
        <f t="shared" si="3"/>
        <v>0</v>
      </c>
      <c r="FN85" s="2"/>
      <c r="FO85" s="2"/>
      <c r="FP85" s="2"/>
      <c r="FQ85" s="2"/>
      <c r="FR85" s="2"/>
    </row>
    <row r="86" spans="1:174" s="3" customFormat="1" ht="19.5" customHeight="1" x14ac:dyDescent="0.25">
      <c r="A86" s="9" t="s">
        <v>117</v>
      </c>
      <c r="B86" s="10" t="s">
        <v>118</v>
      </c>
      <c r="C86" s="10" t="s">
        <v>119</v>
      </c>
      <c r="D86" s="9" t="s">
        <v>89</v>
      </c>
      <c r="E86" s="10" t="s">
        <v>42</v>
      </c>
      <c r="F86" s="10" t="s">
        <v>38</v>
      </c>
      <c r="G86" s="10">
        <v>4</v>
      </c>
      <c r="H86" s="10" t="s">
        <v>19</v>
      </c>
      <c r="I86" s="11">
        <v>2879</v>
      </c>
      <c r="J86" s="12">
        <v>6</v>
      </c>
      <c r="K86" s="7"/>
      <c r="L86" s="13">
        <f t="shared" si="2"/>
        <v>0</v>
      </c>
      <c r="M86" s="13">
        <f t="shared" si="3"/>
        <v>0</v>
      </c>
      <c r="FN86" s="2"/>
      <c r="FO86" s="2"/>
      <c r="FP86" s="2"/>
      <c r="FQ86" s="2"/>
      <c r="FR86" s="2"/>
    </row>
    <row r="87" spans="1:174" s="3" customFormat="1" ht="19.5" customHeight="1" x14ac:dyDescent="0.25">
      <c r="A87" s="9" t="s">
        <v>117</v>
      </c>
      <c r="B87" s="10" t="s">
        <v>118</v>
      </c>
      <c r="C87" s="10" t="s">
        <v>119</v>
      </c>
      <c r="D87" s="9" t="s">
        <v>66</v>
      </c>
      <c r="E87" s="10" t="s">
        <v>67</v>
      </c>
      <c r="F87" s="10" t="s">
        <v>68</v>
      </c>
      <c r="G87" s="10">
        <v>5</v>
      </c>
      <c r="H87" s="10" t="s">
        <v>19</v>
      </c>
      <c r="I87" s="11">
        <v>196</v>
      </c>
      <c r="J87" s="12">
        <v>1</v>
      </c>
      <c r="K87" s="7"/>
      <c r="L87" s="13">
        <f t="shared" si="2"/>
        <v>0</v>
      </c>
      <c r="M87" s="13">
        <f t="shared" si="3"/>
        <v>0</v>
      </c>
      <c r="FN87" s="2"/>
      <c r="FO87" s="2"/>
      <c r="FP87" s="2"/>
      <c r="FQ87" s="2"/>
      <c r="FR87" s="2"/>
    </row>
    <row r="88" spans="1:174" s="3" customFormat="1" ht="19.5" customHeight="1" x14ac:dyDescent="0.25">
      <c r="A88" s="9">
        <v>49245</v>
      </c>
      <c r="B88" s="10" t="s">
        <v>120</v>
      </c>
      <c r="C88" s="10" t="s">
        <v>31</v>
      </c>
      <c r="D88" s="9" t="s">
        <v>16</v>
      </c>
      <c r="E88" s="10" t="s">
        <v>17</v>
      </c>
      <c r="F88" s="10" t="s">
        <v>18</v>
      </c>
      <c r="G88" s="10">
        <v>64</v>
      </c>
      <c r="H88" s="10" t="s">
        <v>19</v>
      </c>
      <c r="I88" s="11">
        <v>539</v>
      </c>
      <c r="J88" s="12">
        <v>2</v>
      </c>
      <c r="K88" s="7"/>
      <c r="L88" s="13">
        <f t="shared" si="2"/>
        <v>0</v>
      </c>
      <c r="M88" s="13">
        <f t="shared" si="3"/>
        <v>0</v>
      </c>
      <c r="FN88" s="2"/>
      <c r="FO88" s="2"/>
      <c r="FP88" s="2"/>
      <c r="FQ88" s="2"/>
      <c r="FR88" s="2"/>
    </row>
    <row r="89" spans="1:174" s="3" customFormat="1" ht="19.5" customHeight="1" x14ac:dyDescent="0.25">
      <c r="A89" s="9">
        <v>42240</v>
      </c>
      <c r="B89" s="10" t="s">
        <v>121</v>
      </c>
      <c r="C89" s="10" t="s">
        <v>107</v>
      </c>
      <c r="D89" s="9" t="s">
        <v>16</v>
      </c>
      <c r="E89" s="10" t="s">
        <v>17</v>
      </c>
      <c r="F89" s="10" t="s">
        <v>18</v>
      </c>
      <c r="G89" s="10">
        <v>2</v>
      </c>
      <c r="H89" s="10" t="s">
        <v>19</v>
      </c>
      <c r="I89" s="11">
        <v>228</v>
      </c>
      <c r="J89" s="12">
        <v>1</v>
      </c>
      <c r="K89" s="7"/>
      <c r="L89" s="13">
        <f t="shared" si="2"/>
        <v>0</v>
      </c>
      <c r="M89" s="13">
        <f t="shared" si="3"/>
        <v>0</v>
      </c>
      <c r="FN89" s="2"/>
      <c r="FO89" s="2"/>
      <c r="FP89" s="2"/>
      <c r="FQ89" s="2"/>
      <c r="FR89" s="2"/>
    </row>
    <row r="90" spans="1:174" s="3" customFormat="1" ht="19.5" customHeight="1" x14ac:dyDescent="0.25">
      <c r="A90" s="9">
        <v>42240</v>
      </c>
      <c r="B90" s="10" t="s">
        <v>121</v>
      </c>
      <c r="C90" s="10" t="s">
        <v>107</v>
      </c>
      <c r="D90" s="9">
        <v>48326</v>
      </c>
      <c r="E90" s="10" t="s">
        <v>122</v>
      </c>
      <c r="F90" s="10" t="s">
        <v>31</v>
      </c>
      <c r="G90" s="10">
        <v>1</v>
      </c>
      <c r="H90" s="10" t="s">
        <v>19</v>
      </c>
      <c r="I90" s="11">
        <v>559</v>
      </c>
      <c r="J90" s="12">
        <v>2</v>
      </c>
      <c r="K90" s="7"/>
      <c r="L90" s="13">
        <f t="shared" si="2"/>
        <v>0</v>
      </c>
      <c r="M90" s="13">
        <f t="shared" si="3"/>
        <v>0</v>
      </c>
      <c r="FN90" s="2"/>
      <c r="FO90" s="2"/>
      <c r="FP90" s="2"/>
      <c r="FQ90" s="2"/>
      <c r="FR90" s="2"/>
    </row>
    <row r="91" spans="1:174" s="3" customFormat="1" ht="19.5" customHeight="1" x14ac:dyDescent="0.25">
      <c r="A91" s="9">
        <v>77029</v>
      </c>
      <c r="B91" s="10" t="s">
        <v>88</v>
      </c>
      <c r="C91" s="10" t="s">
        <v>51</v>
      </c>
      <c r="D91" s="9">
        <v>37416</v>
      </c>
      <c r="E91" s="10" t="s">
        <v>63</v>
      </c>
      <c r="F91" s="10" t="s">
        <v>18</v>
      </c>
      <c r="G91" s="10">
        <v>1</v>
      </c>
      <c r="H91" s="10" t="s">
        <v>19</v>
      </c>
      <c r="I91" s="11">
        <v>836</v>
      </c>
      <c r="J91" s="12">
        <v>2</v>
      </c>
      <c r="K91" s="7"/>
      <c r="L91" s="13">
        <f t="shared" si="2"/>
        <v>0</v>
      </c>
      <c r="M91" s="13">
        <f t="shared" si="3"/>
        <v>0</v>
      </c>
      <c r="FN91" s="2"/>
      <c r="FO91" s="2"/>
      <c r="FP91" s="2"/>
      <c r="FQ91" s="2"/>
      <c r="FR91" s="2"/>
    </row>
    <row r="92" spans="1:174" s="3" customFormat="1" ht="19.5" customHeight="1" x14ac:dyDescent="0.25">
      <c r="A92" s="9">
        <v>77029</v>
      </c>
      <c r="B92" s="10" t="s">
        <v>88</v>
      </c>
      <c r="C92" s="10" t="s">
        <v>51</v>
      </c>
      <c r="D92" s="9">
        <v>32226</v>
      </c>
      <c r="E92" s="10" t="s">
        <v>40</v>
      </c>
      <c r="F92" s="10" t="s">
        <v>56</v>
      </c>
      <c r="G92" s="10">
        <v>1</v>
      </c>
      <c r="H92" s="10" t="s">
        <v>19</v>
      </c>
      <c r="I92" s="11">
        <v>870</v>
      </c>
      <c r="J92" s="12">
        <v>2</v>
      </c>
      <c r="K92" s="7"/>
      <c r="L92" s="13">
        <f t="shared" si="2"/>
        <v>0</v>
      </c>
      <c r="M92" s="13">
        <f t="shared" si="3"/>
        <v>0</v>
      </c>
      <c r="FN92" s="2"/>
      <c r="FO92" s="2"/>
      <c r="FP92" s="2"/>
      <c r="FQ92" s="2"/>
      <c r="FR92" s="2"/>
    </row>
    <row r="93" spans="1:174" s="3" customFormat="1" ht="19.5" customHeight="1" x14ac:dyDescent="0.25">
      <c r="A93" s="9">
        <v>77029</v>
      </c>
      <c r="B93" s="10" t="s">
        <v>88</v>
      </c>
      <c r="C93" s="10" t="s">
        <v>51</v>
      </c>
      <c r="D93" s="9">
        <v>76085</v>
      </c>
      <c r="E93" s="10" t="s">
        <v>65</v>
      </c>
      <c r="F93" s="10" t="s">
        <v>51</v>
      </c>
      <c r="G93" s="10">
        <v>2</v>
      </c>
      <c r="H93" s="10" t="s">
        <v>19</v>
      </c>
      <c r="I93" s="11">
        <v>232</v>
      </c>
      <c r="J93" s="12">
        <v>1</v>
      </c>
      <c r="K93" s="7"/>
      <c r="L93" s="13">
        <f t="shared" si="2"/>
        <v>0</v>
      </c>
      <c r="M93" s="13">
        <f t="shared" si="3"/>
        <v>0</v>
      </c>
      <c r="FN93" s="2"/>
      <c r="FO93" s="2"/>
      <c r="FP93" s="2"/>
      <c r="FQ93" s="2"/>
      <c r="FR93" s="2"/>
    </row>
    <row r="94" spans="1:174" s="3" customFormat="1" ht="19.5" customHeight="1" x14ac:dyDescent="0.25">
      <c r="A94" s="9" t="s">
        <v>123</v>
      </c>
      <c r="B94" s="10" t="s">
        <v>124</v>
      </c>
      <c r="C94" s="10" t="s">
        <v>94</v>
      </c>
      <c r="D94" s="9" t="s">
        <v>16</v>
      </c>
      <c r="E94" s="10" t="s">
        <v>17</v>
      </c>
      <c r="F94" s="10" t="s">
        <v>18</v>
      </c>
      <c r="G94" s="10">
        <v>5</v>
      </c>
      <c r="H94" s="10" t="s">
        <v>19</v>
      </c>
      <c r="I94" s="11">
        <v>339</v>
      </c>
      <c r="J94" s="12">
        <v>1</v>
      </c>
      <c r="K94" s="7"/>
      <c r="L94" s="13">
        <f t="shared" si="2"/>
        <v>0</v>
      </c>
      <c r="M94" s="13">
        <f t="shared" si="3"/>
        <v>0</v>
      </c>
      <c r="FN94" s="2"/>
      <c r="FO94" s="2"/>
      <c r="FP94" s="2"/>
      <c r="FQ94" s="2"/>
      <c r="FR94" s="2"/>
    </row>
    <row r="95" spans="1:174" s="3" customFormat="1" ht="19.5" customHeight="1" x14ac:dyDescent="0.25">
      <c r="A95" s="9" t="s">
        <v>125</v>
      </c>
      <c r="B95" s="10" t="s">
        <v>40</v>
      </c>
      <c r="C95" s="10" t="s">
        <v>56</v>
      </c>
      <c r="D95" s="9" t="s">
        <v>16</v>
      </c>
      <c r="E95" s="10" t="s">
        <v>17</v>
      </c>
      <c r="F95" s="10" t="s">
        <v>18</v>
      </c>
      <c r="G95" s="10">
        <v>1</v>
      </c>
      <c r="H95" s="10" t="s">
        <v>19</v>
      </c>
      <c r="I95" s="11">
        <v>542</v>
      </c>
      <c r="J95" s="12">
        <v>2</v>
      </c>
      <c r="K95" s="7"/>
      <c r="L95" s="13">
        <f t="shared" si="2"/>
        <v>0</v>
      </c>
      <c r="M95" s="13">
        <f t="shared" si="3"/>
        <v>0</v>
      </c>
      <c r="FN95" s="2"/>
      <c r="FO95" s="2"/>
      <c r="FP95" s="2"/>
      <c r="FQ95" s="2"/>
      <c r="FR95" s="2"/>
    </row>
    <row r="96" spans="1:174" s="3" customFormat="1" ht="19.5" customHeight="1" x14ac:dyDescent="0.25">
      <c r="A96" s="9" t="s">
        <v>125</v>
      </c>
      <c r="B96" s="10" t="s">
        <v>40</v>
      </c>
      <c r="C96" s="10" t="s">
        <v>56</v>
      </c>
      <c r="D96" s="9" t="s">
        <v>90</v>
      </c>
      <c r="E96" s="10" t="s">
        <v>91</v>
      </c>
      <c r="F96" s="10" t="s">
        <v>51</v>
      </c>
      <c r="G96" s="10">
        <v>3</v>
      </c>
      <c r="H96" s="10" t="s">
        <v>19</v>
      </c>
      <c r="I96" s="11">
        <v>860</v>
      </c>
      <c r="J96" s="12">
        <v>2</v>
      </c>
      <c r="K96" s="7"/>
      <c r="L96" s="13">
        <f t="shared" si="2"/>
        <v>0</v>
      </c>
      <c r="M96" s="13">
        <f t="shared" si="3"/>
        <v>0</v>
      </c>
      <c r="FN96" s="2"/>
      <c r="FO96" s="2"/>
      <c r="FP96" s="2"/>
      <c r="FQ96" s="2"/>
      <c r="FR96" s="2"/>
    </row>
    <row r="97" spans="1:174" s="3" customFormat="1" ht="19.5" customHeight="1" x14ac:dyDescent="0.25">
      <c r="A97" s="9" t="s">
        <v>125</v>
      </c>
      <c r="B97" s="10" t="s">
        <v>40</v>
      </c>
      <c r="C97" s="10" t="s">
        <v>56</v>
      </c>
      <c r="D97" s="9">
        <v>53158</v>
      </c>
      <c r="E97" s="10" t="s">
        <v>52</v>
      </c>
      <c r="F97" s="10" t="s">
        <v>53</v>
      </c>
      <c r="G97" s="10">
        <v>4</v>
      </c>
      <c r="H97" s="10" t="s">
        <v>19</v>
      </c>
      <c r="I97" s="11">
        <v>1151</v>
      </c>
      <c r="J97" s="12">
        <v>3</v>
      </c>
      <c r="K97" s="7"/>
      <c r="L97" s="13">
        <f t="shared" si="2"/>
        <v>0</v>
      </c>
      <c r="M97" s="13">
        <f t="shared" si="3"/>
        <v>0</v>
      </c>
      <c r="FN97" s="2"/>
      <c r="FO97" s="2"/>
      <c r="FP97" s="2"/>
      <c r="FQ97" s="2"/>
      <c r="FR97" s="2"/>
    </row>
    <row r="98" spans="1:174" s="3" customFormat="1" ht="19.5" customHeight="1" x14ac:dyDescent="0.25">
      <c r="A98" s="9" t="s">
        <v>126</v>
      </c>
      <c r="B98" s="10" t="s">
        <v>127</v>
      </c>
      <c r="C98" s="10" t="s">
        <v>128</v>
      </c>
      <c r="D98" s="9" t="s">
        <v>46</v>
      </c>
      <c r="E98" s="10" t="s">
        <v>47</v>
      </c>
      <c r="F98" s="10" t="s">
        <v>48</v>
      </c>
      <c r="G98" s="10">
        <v>1</v>
      </c>
      <c r="H98" s="10" t="s">
        <v>19</v>
      </c>
      <c r="I98" s="11">
        <v>2827</v>
      </c>
      <c r="J98" s="12">
        <v>6</v>
      </c>
      <c r="K98" s="7"/>
      <c r="L98" s="13">
        <f t="shared" si="2"/>
        <v>0</v>
      </c>
      <c r="M98" s="13">
        <f t="shared" si="3"/>
        <v>0</v>
      </c>
      <c r="FN98" s="2"/>
      <c r="FO98" s="2"/>
      <c r="FP98" s="2"/>
      <c r="FQ98" s="2"/>
      <c r="FR98" s="2"/>
    </row>
    <row r="99" spans="1:174" s="3" customFormat="1" ht="19.5" customHeight="1" x14ac:dyDescent="0.25">
      <c r="A99" s="9">
        <v>77571</v>
      </c>
      <c r="B99" s="10" t="s">
        <v>129</v>
      </c>
      <c r="C99" s="10" t="s">
        <v>51</v>
      </c>
      <c r="D99" s="9">
        <v>8512</v>
      </c>
      <c r="E99" s="10" t="s">
        <v>24</v>
      </c>
      <c r="F99" s="10" t="s">
        <v>25</v>
      </c>
      <c r="G99" s="10">
        <v>23</v>
      </c>
      <c r="H99" s="10" t="s">
        <v>19</v>
      </c>
      <c r="I99" s="11">
        <v>1580</v>
      </c>
      <c r="J99" s="12">
        <v>4</v>
      </c>
      <c r="K99" s="7"/>
      <c r="L99" s="13">
        <f t="shared" si="2"/>
        <v>0</v>
      </c>
      <c r="M99" s="13">
        <f t="shared" si="3"/>
        <v>0</v>
      </c>
      <c r="FN99" s="2"/>
      <c r="FO99" s="2"/>
      <c r="FP99" s="2"/>
      <c r="FQ99" s="2"/>
      <c r="FR99" s="2"/>
    </row>
    <row r="100" spans="1:174" s="3" customFormat="1" ht="19.5" customHeight="1" x14ac:dyDescent="0.25">
      <c r="A100" s="9">
        <v>77571</v>
      </c>
      <c r="B100" s="10" t="s">
        <v>129</v>
      </c>
      <c r="C100" s="10" t="s">
        <v>51</v>
      </c>
      <c r="D100" s="9">
        <v>76052</v>
      </c>
      <c r="E100" s="10" t="s">
        <v>50</v>
      </c>
      <c r="F100" s="10" t="s">
        <v>51</v>
      </c>
      <c r="G100" s="10">
        <v>19</v>
      </c>
      <c r="H100" s="10" t="s">
        <v>19</v>
      </c>
      <c r="I100" s="11">
        <v>306</v>
      </c>
      <c r="J100" s="12">
        <v>1</v>
      </c>
      <c r="K100" s="7"/>
      <c r="L100" s="13">
        <f t="shared" si="2"/>
        <v>0</v>
      </c>
      <c r="M100" s="13">
        <f t="shared" si="3"/>
        <v>0</v>
      </c>
      <c r="FN100" s="2"/>
      <c r="FO100" s="2"/>
      <c r="FP100" s="2"/>
      <c r="FQ100" s="2"/>
      <c r="FR100" s="2"/>
    </row>
    <row r="101" spans="1:174" s="3" customFormat="1" ht="19.5" customHeight="1" x14ac:dyDescent="0.25">
      <c r="A101" s="9">
        <v>77571</v>
      </c>
      <c r="B101" s="10" t="s">
        <v>129</v>
      </c>
      <c r="C101" s="10" t="s">
        <v>51</v>
      </c>
      <c r="D101" s="9">
        <v>32219</v>
      </c>
      <c r="E101" s="10" t="s">
        <v>40</v>
      </c>
      <c r="F101" s="10" t="s">
        <v>56</v>
      </c>
      <c r="G101" s="10">
        <v>17</v>
      </c>
      <c r="H101" s="10" t="s">
        <v>19</v>
      </c>
      <c r="I101" s="11">
        <v>857</v>
      </c>
      <c r="J101" s="12">
        <v>2</v>
      </c>
      <c r="K101" s="7"/>
      <c r="L101" s="13">
        <f t="shared" si="2"/>
        <v>0</v>
      </c>
      <c r="M101" s="13">
        <f t="shared" si="3"/>
        <v>0</v>
      </c>
      <c r="FN101" s="2"/>
      <c r="FO101" s="2"/>
      <c r="FP101" s="2"/>
      <c r="FQ101" s="2"/>
      <c r="FR101" s="2"/>
    </row>
    <row r="102" spans="1:174" s="3" customFormat="1" ht="19.5" customHeight="1" x14ac:dyDescent="0.25">
      <c r="A102" s="9">
        <v>77571</v>
      </c>
      <c r="B102" s="10" t="s">
        <v>129</v>
      </c>
      <c r="C102" s="10" t="s">
        <v>51</v>
      </c>
      <c r="D102" s="9">
        <v>37771</v>
      </c>
      <c r="E102" s="10" t="s">
        <v>17</v>
      </c>
      <c r="F102" s="10" t="s">
        <v>18</v>
      </c>
      <c r="G102" s="10">
        <v>16</v>
      </c>
      <c r="H102" s="10" t="s">
        <v>19</v>
      </c>
      <c r="I102" s="11">
        <v>866</v>
      </c>
      <c r="J102" s="12">
        <v>2</v>
      </c>
      <c r="K102" s="7"/>
      <c r="L102" s="13">
        <f t="shared" si="2"/>
        <v>0</v>
      </c>
      <c r="M102" s="13">
        <f t="shared" si="3"/>
        <v>0</v>
      </c>
      <c r="FN102" s="2"/>
      <c r="FO102" s="2"/>
      <c r="FP102" s="2"/>
      <c r="FQ102" s="2"/>
      <c r="FR102" s="2"/>
    </row>
    <row r="103" spans="1:174" s="3" customFormat="1" ht="19.5" customHeight="1" x14ac:dyDescent="0.25">
      <c r="A103" s="9">
        <v>77571</v>
      </c>
      <c r="B103" s="10" t="s">
        <v>129</v>
      </c>
      <c r="C103" s="10" t="s">
        <v>51</v>
      </c>
      <c r="D103" s="9">
        <v>91761</v>
      </c>
      <c r="E103" s="10" t="s">
        <v>58</v>
      </c>
      <c r="F103" s="10" t="s">
        <v>38</v>
      </c>
      <c r="G103" s="10">
        <v>20</v>
      </c>
      <c r="H103" s="10" t="s">
        <v>19</v>
      </c>
      <c r="I103" s="11">
        <v>1534</v>
      </c>
      <c r="J103" s="12">
        <v>4</v>
      </c>
      <c r="K103" s="7"/>
      <c r="L103" s="13">
        <f t="shared" si="2"/>
        <v>0</v>
      </c>
      <c r="M103" s="13">
        <f t="shared" si="3"/>
        <v>0</v>
      </c>
      <c r="FN103" s="2"/>
      <c r="FO103" s="2"/>
      <c r="FP103" s="2"/>
      <c r="FQ103" s="2"/>
      <c r="FR103" s="2"/>
    </row>
    <row r="104" spans="1:174" s="3" customFormat="1" ht="19.5" customHeight="1" x14ac:dyDescent="0.25">
      <c r="A104" s="9">
        <v>77571</v>
      </c>
      <c r="B104" s="10" t="s">
        <v>129</v>
      </c>
      <c r="C104" s="10" t="s">
        <v>51</v>
      </c>
      <c r="D104" s="9">
        <v>53158</v>
      </c>
      <c r="E104" s="10" t="s">
        <v>52</v>
      </c>
      <c r="F104" s="10" t="s">
        <v>53</v>
      </c>
      <c r="G104" s="10">
        <v>22</v>
      </c>
      <c r="H104" s="10" t="s">
        <v>19</v>
      </c>
      <c r="I104" s="11">
        <v>1131</v>
      </c>
      <c r="J104" s="12">
        <v>3</v>
      </c>
      <c r="K104" s="7"/>
      <c r="L104" s="13">
        <f t="shared" si="2"/>
        <v>0</v>
      </c>
      <c r="M104" s="13">
        <f t="shared" si="3"/>
        <v>0</v>
      </c>
      <c r="FN104" s="2"/>
      <c r="FO104" s="2"/>
      <c r="FP104" s="2"/>
      <c r="FQ104" s="2"/>
      <c r="FR104" s="2"/>
    </row>
    <row r="105" spans="1:174" s="3" customFormat="1" ht="19.5" customHeight="1" x14ac:dyDescent="0.25">
      <c r="A105" s="9">
        <v>77571</v>
      </c>
      <c r="B105" s="10" t="s">
        <v>129</v>
      </c>
      <c r="C105" s="10" t="s">
        <v>51</v>
      </c>
      <c r="D105" s="9">
        <v>95765</v>
      </c>
      <c r="E105" s="10" t="s">
        <v>61</v>
      </c>
      <c r="F105" s="10" t="s">
        <v>38</v>
      </c>
      <c r="G105" s="10">
        <v>14</v>
      </c>
      <c r="H105" s="10" t="s">
        <v>19</v>
      </c>
      <c r="I105" s="11">
        <v>1985</v>
      </c>
      <c r="J105" s="12">
        <v>4</v>
      </c>
      <c r="K105" s="7"/>
      <c r="L105" s="13">
        <f t="shared" si="2"/>
        <v>0</v>
      </c>
      <c r="M105" s="13">
        <f t="shared" si="3"/>
        <v>0</v>
      </c>
      <c r="FN105" s="2"/>
      <c r="FO105" s="2"/>
      <c r="FP105" s="2"/>
      <c r="FQ105" s="2"/>
      <c r="FR105" s="2"/>
    </row>
    <row r="106" spans="1:174" s="3" customFormat="1" ht="19.5" customHeight="1" x14ac:dyDescent="0.25">
      <c r="A106" s="9" t="s">
        <v>130</v>
      </c>
      <c r="B106" s="10" t="s">
        <v>131</v>
      </c>
      <c r="C106" s="10" t="s">
        <v>33</v>
      </c>
      <c r="D106" s="9" t="s">
        <v>46</v>
      </c>
      <c r="E106" s="10" t="s">
        <v>47</v>
      </c>
      <c r="F106" s="10" t="s">
        <v>48</v>
      </c>
      <c r="G106" s="10">
        <v>3</v>
      </c>
      <c r="H106" s="10" t="s">
        <v>132</v>
      </c>
      <c r="I106" s="11">
        <v>675</v>
      </c>
      <c r="J106" s="12">
        <v>2</v>
      </c>
      <c r="K106" s="7"/>
      <c r="L106" s="13">
        <f t="shared" si="2"/>
        <v>0</v>
      </c>
      <c r="M106" s="13">
        <f t="shared" si="3"/>
        <v>0</v>
      </c>
      <c r="FN106" s="2"/>
      <c r="FO106" s="2"/>
      <c r="FP106" s="2"/>
      <c r="FQ106" s="2"/>
      <c r="FR106" s="2"/>
    </row>
    <row r="107" spans="1:174" s="3" customFormat="1" ht="19.5" customHeight="1" x14ac:dyDescent="0.25">
      <c r="A107" s="9" t="s">
        <v>130</v>
      </c>
      <c r="B107" s="10" t="s">
        <v>131</v>
      </c>
      <c r="C107" s="10" t="s">
        <v>33</v>
      </c>
      <c r="D107" s="9" t="s">
        <v>86</v>
      </c>
      <c r="E107" s="10" t="s">
        <v>63</v>
      </c>
      <c r="F107" s="10" t="s">
        <v>18</v>
      </c>
      <c r="G107" s="10">
        <v>9</v>
      </c>
      <c r="H107" s="10" t="s">
        <v>132</v>
      </c>
      <c r="I107" s="11">
        <v>136</v>
      </c>
      <c r="J107" s="12">
        <v>1</v>
      </c>
      <c r="K107" s="7"/>
      <c r="L107" s="13">
        <f t="shared" si="2"/>
        <v>0</v>
      </c>
      <c r="M107" s="13">
        <f t="shared" si="3"/>
        <v>0</v>
      </c>
      <c r="FN107" s="2"/>
      <c r="FO107" s="2"/>
      <c r="FP107" s="2"/>
      <c r="FQ107" s="2"/>
      <c r="FR107" s="2"/>
    </row>
    <row r="108" spans="1:174" s="3" customFormat="1" ht="19.5" customHeight="1" x14ac:dyDescent="0.25">
      <c r="A108" s="9" t="s">
        <v>130</v>
      </c>
      <c r="B108" s="10" t="s">
        <v>131</v>
      </c>
      <c r="C108" s="10" t="s">
        <v>33</v>
      </c>
      <c r="D108" s="9" t="s">
        <v>39</v>
      </c>
      <c r="E108" s="10" t="s">
        <v>40</v>
      </c>
      <c r="F108" s="10" t="s">
        <v>56</v>
      </c>
      <c r="G108" s="10">
        <v>3</v>
      </c>
      <c r="H108" s="10" t="s">
        <v>132</v>
      </c>
      <c r="I108" s="11">
        <v>369</v>
      </c>
      <c r="J108" s="12">
        <v>1</v>
      </c>
      <c r="K108" s="7"/>
      <c r="L108" s="13">
        <f t="shared" si="2"/>
        <v>0</v>
      </c>
      <c r="M108" s="13">
        <f t="shared" si="3"/>
        <v>0</v>
      </c>
      <c r="FN108" s="2"/>
      <c r="FO108" s="2"/>
      <c r="FP108" s="2"/>
      <c r="FQ108" s="2"/>
      <c r="FR108" s="2"/>
    </row>
    <row r="109" spans="1:174" s="3" customFormat="1" ht="19.5" customHeight="1" x14ac:dyDescent="0.25">
      <c r="A109" s="9" t="s">
        <v>130</v>
      </c>
      <c r="B109" s="10" t="s">
        <v>131</v>
      </c>
      <c r="C109" s="10" t="s">
        <v>33</v>
      </c>
      <c r="D109" s="9" t="s">
        <v>64</v>
      </c>
      <c r="E109" s="10" t="s">
        <v>65</v>
      </c>
      <c r="F109" s="10" t="s">
        <v>51</v>
      </c>
      <c r="G109" s="10">
        <v>8</v>
      </c>
      <c r="H109" s="10" t="s">
        <v>132</v>
      </c>
      <c r="I109" s="11">
        <v>833</v>
      </c>
      <c r="J109" s="12">
        <v>2</v>
      </c>
      <c r="K109" s="7"/>
      <c r="L109" s="13">
        <f t="shared" si="2"/>
        <v>0</v>
      </c>
      <c r="M109" s="13">
        <f t="shared" si="3"/>
        <v>0</v>
      </c>
      <c r="FN109" s="2"/>
      <c r="FO109" s="2"/>
      <c r="FP109" s="2"/>
      <c r="FQ109" s="2"/>
      <c r="FR109" s="2"/>
    </row>
    <row r="110" spans="1:174" s="3" customFormat="1" ht="19.5" customHeight="1" x14ac:dyDescent="0.25">
      <c r="A110" s="9" t="s">
        <v>130</v>
      </c>
      <c r="B110" s="10" t="s">
        <v>131</v>
      </c>
      <c r="C110" s="10" t="s">
        <v>33</v>
      </c>
      <c r="D110" s="9" t="s">
        <v>89</v>
      </c>
      <c r="E110" s="10" t="s">
        <v>42</v>
      </c>
      <c r="F110" s="10" t="s">
        <v>38</v>
      </c>
      <c r="G110" s="10">
        <v>3</v>
      </c>
      <c r="H110" s="10" t="s">
        <v>132</v>
      </c>
      <c r="I110" s="11">
        <v>2135</v>
      </c>
      <c r="J110" s="12">
        <v>5</v>
      </c>
      <c r="K110" s="7"/>
      <c r="L110" s="13">
        <f t="shared" si="2"/>
        <v>0</v>
      </c>
      <c r="M110" s="13">
        <f t="shared" si="3"/>
        <v>0</v>
      </c>
      <c r="FN110" s="2"/>
      <c r="FO110" s="2"/>
      <c r="FP110" s="2"/>
      <c r="FQ110" s="2"/>
      <c r="FR110" s="2"/>
    </row>
    <row r="111" spans="1:174" s="3" customFormat="1" ht="19.5" customHeight="1" x14ac:dyDescent="0.25">
      <c r="A111" s="9" t="s">
        <v>130</v>
      </c>
      <c r="B111" s="10" t="s">
        <v>131</v>
      </c>
      <c r="C111" s="10" t="s">
        <v>33</v>
      </c>
      <c r="D111" s="9" t="s">
        <v>66</v>
      </c>
      <c r="E111" s="10" t="s">
        <v>67</v>
      </c>
      <c r="F111" s="10" t="s">
        <v>68</v>
      </c>
      <c r="G111" s="10">
        <v>2</v>
      </c>
      <c r="H111" s="10" t="s">
        <v>132</v>
      </c>
      <c r="I111" s="11">
        <v>1025</v>
      </c>
      <c r="J111" s="12">
        <v>3</v>
      </c>
      <c r="K111" s="7"/>
      <c r="L111" s="13">
        <f t="shared" si="2"/>
        <v>0</v>
      </c>
      <c r="M111" s="13">
        <f t="shared" si="3"/>
        <v>0</v>
      </c>
      <c r="FN111" s="2"/>
      <c r="FO111" s="2"/>
      <c r="FP111" s="2"/>
      <c r="FQ111" s="2"/>
      <c r="FR111" s="2"/>
    </row>
    <row r="112" spans="1:174" s="3" customFormat="1" ht="19.5" customHeight="1" x14ac:dyDescent="0.25">
      <c r="A112" s="9" t="s">
        <v>133</v>
      </c>
      <c r="B112" s="10" t="s">
        <v>134</v>
      </c>
      <c r="C112" s="10" t="s">
        <v>18</v>
      </c>
      <c r="D112" s="9" t="s">
        <v>16</v>
      </c>
      <c r="E112" s="10" t="s">
        <v>17</v>
      </c>
      <c r="F112" s="10" t="s">
        <v>18</v>
      </c>
      <c r="G112" s="10">
        <v>40</v>
      </c>
      <c r="H112" s="10" t="s">
        <v>19</v>
      </c>
      <c r="I112" s="11">
        <v>164</v>
      </c>
      <c r="J112" s="12">
        <v>1</v>
      </c>
      <c r="K112" s="7"/>
      <c r="L112" s="13">
        <f t="shared" si="2"/>
        <v>0</v>
      </c>
      <c r="M112" s="13">
        <f t="shared" si="3"/>
        <v>0</v>
      </c>
      <c r="FN112" s="2"/>
      <c r="FO112" s="2"/>
      <c r="FP112" s="2"/>
      <c r="FQ112" s="2"/>
      <c r="FR112" s="2"/>
    </row>
    <row r="113" spans="1:174" s="3" customFormat="1" ht="19.5" customHeight="1" x14ac:dyDescent="0.25">
      <c r="A113" s="9">
        <v>37771</v>
      </c>
      <c r="B113" s="10" t="s">
        <v>17</v>
      </c>
      <c r="C113" s="10" t="s">
        <v>18</v>
      </c>
      <c r="D113" s="9" t="s">
        <v>23</v>
      </c>
      <c r="E113" s="10" t="s">
        <v>24</v>
      </c>
      <c r="F113" s="10" t="s">
        <v>25</v>
      </c>
      <c r="G113" s="10">
        <v>1</v>
      </c>
      <c r="H113" s="10" t="s">
        <v>19</v>
      </c>
      <c r="I113" s="11">
        <v>695</v>
      </c>
      <c r="J113" s="12">
        <v>2</v>
      </c>
      <c r="K113" s="7"/>
      <c r="L113" s="13">
        <f t="shared" si="2"/>
        <v>0</v>
      </c>
      <c r="M113" s="13">
        <f t="shared" si="3"/>
        <v>0</v>
      </c>
      <c r="FN113" s="2"/>
      <c r="FO113" s="2"/>
      <c r="FP113" s="2"/>
      <c r="FQ113" s="2"/>
      <c r="FR113" s="2"/>
    </row>
    <row r="114" spans="1:174" s="3" customFormat="1" ht="19.5" customHeight="1" x14ac:dyDescent="0.25">
      <c r="A114" s="9">
        <v>37771</v>
      </c>
      <c r="B114" s="10" t="s">
        <v>17</v>
      </c>
      <c r="C114" s="10" t="s">
        <v>18</v>
      </c>
      <c r="D114" s="9">
        <v>37416</v>
      </c>
      <c r="E114" s="10" t="s">
        <v>63</v>
      </c>
      <c r="F114" s="10" t="s">
        <v>18</v>
      </c>
      <c r="G114" s="10">
        <v>28</v>
      </c>
      <c r="H114" s="10" t="s">
        <v>19</v>
      </c>
      <c r="I114" s="11">
        <v>87</v>
      </c>
      <c r="J114" s="12">
        <v>1</v>
      </c>
      <c r="K114" s="7"/>
      <c r="L114" s="13">
        <f t="shared" si="2"/>
        <v>0</v>
      </c>
      <c r="M114" s="13">
        <f t="shared" si="3"/>
        <v>0</v>
      </c>
      <c r="FN114" s="2"/>
      <c r="FO114" s="2"/>
      <c r="FP114" s="2"/>
      <c r="FQ114" s="2"/>
      <c r="FR114" s="2"/>
    </row>
    <row r="115" spans="1:174" s="3" customFormat="1" ht="19.5" customHeight="1" x14ac:dyDescent="0.25">
      <c r="A115" s="9" t="s">
        <v>16</v>
      </c>
      <c r="B115" s="10" t="s">
        <v>17</v>
      </c>
      <c r="C115" s="10" t="s">
        <v>18</v>
      </c>
      <c r="D115" s="9" t="s">
        <v>29</v>
      </c>
      <c r="E115" s="10" t="s">
        <v>30</v>
      </c>
      <c r="F115" s="10" t="s">
        <v>31</v>
      </c>
      <c r="G115" s="10">
        <v>4</v>
      </c>
      <c r="H115" s="10" t="s">
        <v>19</v>
      </c>
      <c r="I115" s="11">
        <v>530</v>
      </c>
      <c r="J115" s="12">
        <v>2</v>
      </c>
      <c r="K115" s="7"/>
      <c r="L115" s="13">
        <f t="shared" si="2"/>
        <v>0</v>
      </c>
      <c r="M115" s="13">
        <f t="shared" si="3"/>
        <v>0</v>
      </c>
      <c r="FN115" s="2"/>
      <c r="FO115" s="2"/>
      <c r="FP115" s="2"/>
      <c r="FQ115" s="2"/>
      <c r="FR115" s="2"/>
    </row>
    <row r="116" spans="1:174" s="3" customFormat="1" ht="19.5" customHeight="1" x14ac:dyDescent="0.25">
      <c r="A116" s="9" t="s">
        <v>16</v>
      </c>
      <c r="B116" s="10" t="s">
        <v>17</v>
      </c>
      <c r="C116" s="10" t="s">
        <v>18</v>
      </c>
      <c r="D116" s="9" t="s">
        <v>49</v>
      </c>
      <c r="E116" s="10" t="s">
        <v>50</v>
      </c>
      <c r="F116" s="10" t="s">
        <v>51</v>
      </c>
      <c r="G116" s="10">
        <v>6</v>
      </c>
      <c r="H116" s="10" t="s">
        <v>19</v>
      </c>
      <c r="I116" s="11">
        <v>862</v>
      </c>
      <c r="J116" s="12">
        <v>2</v>
      </c>
      <c r="K116" s="7"/>
      <c r="L116" s="13">
        <f t="shared" si="2"/>
        <v>0</v>
      </c>
      <c r="M116" s="13">
        <f t="shared" si="3"/>
        <v>0</v>
      </c>
      <c r="FN116" s="2"/>
      <c r="FO116" s="2"/>
      <c r="FP116" s="2"/>
      <c r="FQ116" s="2"/>
      <c r="FR116" s="2"/>
    </row>
    <row r="117" spans="1:174" s="3" customFormat="1" ht="19.5" customHeight="1" x14ac:dyDescent="0.25">
      <c r="A117" s="9" t="s">
        <v>16</v>
      </c>
      <c r="B117" s="10" t="s">
        <v>17</v>
      </c>
      <c r="C117" s="10" t="s">
        <v>18</v>
      </c>
      <c r="D117" s="9">
        <v>77507</v>
      </c>
      <c r="E117" s="10" t="s">
        <v>91</v>
      </c>
      <c r="F117" s="10" t="s">
        <v>38</v>
      </c>
      <c r="G117" s="10">
        <v>1</v>
      </c>
      <c r="H117" s="10" t="s">
        <v>19</v>
      </c>
      <c r="I117" s="11">
        <v>876</v>
      </c>
      <c r="J117" s="12">
        <v>2</v>
      </c>
      <c r="K117" s="7"/>
      <c r="L117" s="13">
        <f t="shared" si="2"/>
        <v>0</v>
      </c>
      <c r="M117" s="13">
        <f t="shared" si="3"/>
        <v>0</v>
      </c>
    </row>
    <row r="118" spans="1:174" s="3" customFormat="1" ht="19.5" customHeight="1" x14ac:dyDescent="0.25">
      <c r="A118" s="9" t="s">
        <v>16</v>
      </c>
      <c r="B118" s="10" t="s">
        <v>17</v>
      </c>
      <c r="C118" s="10" t="s">
        <v>18</v>
      </c>
      <c r="D118" s="9" t="s">
        <v>57</v>
      </c>
      <c r="E118" s="10" t="s">
        <v>58</v>
      </c>
      <c r="F118" s="10" t="s">
        <v>38</v>
      </c>
      <c r="G118" s="10">
        <v>3</v>
      </c>
      <c r="H118" s="10" t="s">
        <v>19</v>
      </c>
      <c r="I118" s="11">
        <v>2131</v>
      </c>
      <c r="J118" s="12">
        <v>5</v>
      </c>
      <c r="K118" s="7"/>
      <c r="L118" s="13">
        <f t="shared" si="2"/>
        <v>0</v>
      </c>
      <c r="M118" s="13">
        <f t="shared" si="3"/>
        <v>0</v>
      </c>
    </row>
    <row r="119" spans="1:174" s="3" customFormat="1" ht="19.5" customHeight="1" x14ac:dyDescent="0.25">
      <c r="A119" s="9" t="s">
        <v>16</v>
      </c>
      <c r="B119" s="10" t="s">
        <v>17</v>
      </c>
      <c r="C119" s="10" t="s">
        <v>18</v>
      </c>
      <c r="D119" s="9" t="s">
        <v>59</v>
      </c>
      <c r="E119" s="10" t="s">
        <v>52</v>
      </c>
      <c r="F119" s="10" t="s">
        <v>53</v>
      </c>
      <c r="G119" s="10">
        <v>3</v>
      </c>
      <c r="H119" s="10" t="s">
        <v>19</v>
      </c>
      <c r="I119" s="11">
        <v>593</v>
      </c>
      <c r="J119" s="12">
        <v>2</v>
      </c>
      <c r="K119" s="7"/>
      <c r="L119" s="13">
        <f t="shared" si="2"/>
        <v>0</v>
      </c>
      <c r="M119" s="13">
        <f t="shared" si="3"/>
        <v>0</v>
      </c>
    </row>
    <row r="120" spans="1:174" s="3" customFormat="1" ht="19.5" customHeight="1" x14ac:dyDescent="0.25">
      <c r="A120" s="9" t="s">
        <v>16</v>
      </c>
      <c r="B120" s="10" t="s">
        <v>17</v>
      </c>
      <c r="C120" s="10" t="s">
        <v>18</v>
      </c>
      <c r="D120" s="9" t="s">
        <v>60</v>
      </c>
      <c r="E120" s="10" t="s">
        <v>61</v>
      </c>
      <c r="F120" s="10" t="s">
        <v>38</v>
      </c>
      <c r="G120" s="10">
        <v>1</v>
      </c>
      <c r="H120" s="10" t="s">
        <v>19</v>
      </c>
      <c r="I120" s="11">
        <v>2412</v>
      </c>
      <c r="J120" s="12">
        <v>6</v>
      </c>
      <c r="K120" s="7"/>
      <c r="L120" s="13">
        <f t="shared" si="2"/>
        <v>0</v>
      </c>
      <c r="M120" s="13">
        <f t="shared" si="3"/>
        <v>0</v>
      </c>
    </row>
    <row r="121" spans="1:174" s="3" customFormat="1" ht="19.5" customHeight="1" x14ac:dyDescent="0.25">
      <c r="A121" s="9">
        <v>48150</v>
      </c>
      <c r="B121" s="10" t="s">
        <v>135</v>
      </c>
      <c r="C121" s="10" t="s">
        <v>31</v>
      </c>
      <c r="D121" s="9" t="s">
        <v>29</v>
      </c>
      <c r="E121" s="10" t="s">
        <v>30</v>
      </c>
      <c r="F121" s="10" t="s">
        <v>31</v>
      </c>
      <c r="G121" s="10">
        <v>1</v>
      </c>
      <c r="H121" s="10" t="s">
        <v>19</v>
      </c>
      <c r="I121" s="11">
        <v>16</v>
      </c>
      <c r="J121" s="12">
        <v>1</v>
      </c>
      <c r="K121" s="7"/>
      <c r="L121" s="13">
        <f t="shared" si="2"/>
        <v>0</v>
      </c>
      <c r="M121" s="13">
        <f t="shared" si="3"/>
        <v>0</v>
      </c>
    </row>
    <row r="122" spans="1:174" s="3" customFormat="1" ht="19.5" customHeight="1" x14ac:dyDescent="0.25">
      <c r="A122" s="9" t="s">
        <v>136</v>
      </c>
      <c r="B122" s="10" t="s">
        <v>137</v>
      </c>
      <c r="C122" s="10" t="s">
        <v>107</v>
      </c>
      <c r="D122" s="9" t="s">
        <v>16</v>
      </c>
      <c r="E122" s="10" t="s">
        <v>17</v>
      </c>
      <c r="F122" s="10" t="s">
        <v>18</v>
      </c>
      <c r="G122" s="10">
        <v>8</v>
      </c>
      <c r="H122" s="10" t="s">
        <v>19</v>
      </c>
      <c r="I122" s="11">
        <v>259</v>
      </c>
      <c r="J122" s="12">
        <v>1</v>
      </c>
      <c r="K122" s="7"/>
      <c r="L122" s="13">
        <f t="shared" si="2"/>
        <v>0</v>
      </c>
      <c r="M122" s="13">
        <f t="shared" si="3"/>
        <v>0</v>
      </c>
    </row>
    <row r="123" spans="1:174" s="3" customFormat="1" ht="19.5" customHeight="1" x14ac:dyDescent="0.25">
      <c r="A123" s="9">
        <v>43040</v>
      </c>
      <c r="B123" s="10" t="s">
        <v>138</v>
      </c>
      <c r="C123" s="10" t="s">
        <v>94</v>
      </c>
      <c r="D123" s="9">
        <v>48126</v>
      </c>
      <c r="E123" s="10" t="s">
        <v>30</v>
      </c>
      <c r="F123" s="10" t="s">
        <v>31</v>
      </c>
      <c r="G123" s="10">
        <v>2</v>
      </c>
      <c r="H123" s="10" t="s">
        <v>19</v>
      </c>
      <c r="I123" s="11">
        <v>166</v>
      </c>
      <c r="J123" s="12">
        <v>1</v>
      </c>
      <c r="K123" s="7"/>
      <c r="L123" s="13">
        <f t="shared" si="2"/>
        <v>0</v>
      </c>
      <c r="M123" s="13">
        <f t="shared" si="3"/>
        <v>0</v>
      </c>
    </row>
    <row r="124" spans="1:174" s="3" customFormat="1" ht="19.5" customHeight="1" x14ac:dyDescent="0.25">
      <c r="A124" s="9" t="s">
        <v>139</v>
      </c>
      <c r="B124" s="10" t="s">
        <v>140</v>
      </c>
      <c r="C124" s="10" t="s">
        <v>18</v>
      </c>
      <c r="D124" s="9" t="s">
        <v>16</v>
      </c>
      <c r="E124" s="10" t="s">
        <v>17</v>
      </c>
      <c r="F124" s="10" t="s">
        <v>18</v>
      </c>
      <c r="G124" s="10">
        <v>1</v>
      </c>
      <c r="H124" s="10" t="s">
        <v>19</v>
      </c>
      <c r="I124" s="11">
        <v>73</v>
      </c>
      <c r="J124" s="12">
        <v>1</v>
      </c>
      <c r="K124" s="7"/>
      <c r="L124" s="13">
        <f t="shared" si="2"/>
        <v>0</v>
      </c>
      <c r="M124" s="13">
        <f t="shared" si="3"/>
        <v>0</v>
      </c>
    </row>
    <row r="125" spans="1:174" s="3" customFormat="1" ht="19.5" customHeight="1" x14ac:dyDescent="0.25">
      <c r="A125" s="9">
        <v>6460</v>
      </c>
      <c r="B125" s="10" t="s">
        <v>141</v>
      </c>
      <c r="C125" s="10" t="s">
        <v>142</v>
      </c>
      <c r="D125" s="9">
        <v>48326</v>
      </c>
      <c r="E125" s="10" t="s">
        <v>122</v>
      </c>
      <c r="F125" s="10" t="s">
        <v>31</v>
      </c>
      <c r="G125" s="10">
        <v>3</v>
      </c>
      <c r="H125" s="10" t="s">
        <v>19</v>
      </c>
      <c r="I125" s="11">
        <v>700</v>
      </c>
      <c r="J125" s="12">
        <v>2</v>
      </c>
      <c r="K125" s="7"/>
      <c r="L125" s="13">
        <f t="shared" si="2"/>
        <v>0</v>
      </c>
      <c r="M125" s="13">
        <f t="shared" si="3"/>
        <v>0</v>
      </c>
    </row>
    <row r="126" spans="1:174" s="3" customFormat="1" ht="19.5" customHeight="1" x14ac:dyDescent="0.25">
      <c r="A126" s="9">
        <v>6460</v>
      </c>
      <c r="B126" s="10" t="s">
        <v>141</v>
      </c>
      <c r="C126" s="10" t="s">
        <v>142</v>
      </c>
      <c r="D126" s="9">
        <v>80012</v>
      </c>
      <c r="E126" s="10" t="s">
        <v>143</v>
      </c>
      <c r="F126" s="10" t="s">
        <v>144</v>
      </c>
      <c r="G126" s="10">
        <v>1</v>
      </c>
      <c r="H126" s="10" t="s">
        <v>19</v>
      </c>
      <c r="I126" s="11">
        <v>1811</v>
      </c>
      <c r="J126" s="12">
        <v>4</v>
      </c>
      <c r="K126" s="7"/>
      <c r="L126" s="13">
        <f t="shared" si="2"/>
        <v>0</v>
      </c>
      <c r="M126" s="13">
        <f t="shared" si="3"/>
        <v>0</v>
      </c>
    </row>
    <row r="127" spans="1:174" s="3" customFormat="1" ht="19.5" customHeight="1" x14ac:dyDescent="0.25">
      <c r="A127" s="9">
        <v>6460</v>
      </c>
      <c r="B127" s="10" t="s">
        <v>141</v>
      </c>
      <c r="C127" s="10" t="s">
        <v>142</v>
      </c>
      <c r="D127" s="9">
        <v>8210</v>
      </c>
      <c r="E127" s="10" t="s">
        <v>145</v>
      </c>
      <c r="F127" s="10" t="s">
        <v>25</v>
      </c>
      <c r="G127" s="10">
        <v>1</v>
      </c>
      <c r="H127" s="10" t="s">
        <v>19</v>
      </c>
      <c r="I127" s="11">
        <v>205</v>
      </c>
      <c r="J127" s="12">
        <v>1</v>
      </c>
      <c r="K127" s="7"/>
      <c r="L127" s="13">
        <f t="shared" si="2"/>
        <v>0</v>
      </c>
      <c r="M127" s="13">
        <f t="shared" si="3"/>
        <v>0</v>
      </c>
    </row>
    <row r="128" spans="1:174" s="3" customFormat="1" ht="19.5" customHeight="1" x14ac:dyDescent="0.25">
      <c r="A128" s="9">
        <v>6460</v>
      </c>
      <c r="B128" s="10" t="s">
        <v>141</v>
      </c>
      <c r="C128" s="10" t="s">
        <v>142</v>
      </c>
      <c r="D128" s="9">
        <v>9703</v>
      </c>
      <c r="E128" s="10" t="s">
        <v>146</v>
      </c>
      <c r="F128" s="10" t="s">
        <v>38</v>
      </c>
      <c r="G128" s="10">
        <v>1</v>
      </c>
      <c r="H128" s="10" t="s">
        <v>19</v>
      </c>
      <c r="I128" s="11">
        <v>2864</v>
      </c>
      <c r="J128" s="12">
        <v>6</v>
      </c>
      <c r="K128" s="7"/>
      <c r="L128" s="13">
        <f t="shared" si="2"/>
        <v>0</v>
      </c>
      <c r="M128" s="13">
        <f t="shared" si="3"/>
        <v>0</v>
      </c>
    </row>
    <row r="129" spans="1:13" s="3" customFormat="1" ht="19.5" customHeight="1" x14ac:dyDescent="0.25">
      <c r="A129" s="9">
        <v>6460</v>
      </c>
      <c r="B129" s="10" t="s">
        <v>141</v>
      </c>
      <c r="C129" s="10" t="s">
        <v>142</v>
      </c>
      <c r="D129" s="9">
        <v>90703</v>
      </c>
      <c r="E129" s="10" t="s">
        <v>146</v>
      </c>
      <c r="F129" s="10" t="s">
        <v>38</v>
      </c>
      <c r="G129" s="10">
        <v>1</v>
      </c>
      <c r="H129" s="10" t="s">
        <v>19</v>
      </c>
      <c r="I129" s="11">
        <v>2864</v>
      </c>
      <c r="J129" s="12">
        <v>6</v>
      </c>
      <c r="K129" s="7"/>
      <c r="L129" s="13">
        <f t="shared" si="2"/>
        <v>0</v>
      </c>
      <c r="M129" s="13">
        <f t="shared" si="3"/>
        <v>0</v>
      </c>
    </row>
    <row r="130" spans="1:13" s="3" customFormat="1" ht="19.5" customHeight="1" x14ac:dyDescent="0.25">
      <c r="A130" s="9" t="s">
        <v>147</v>
      </c>
      <c r="B130" s="10" t="s">
        <v>141</v>
      </c>
      <c r="C130" s="10" t="s">
        <v>142</v>
      </c>
      <c r="D130" s="9">
        <v>75209</v>
      </c>
      <c r="E130" s="10" t="s">
        <v>148</v>
      </c>
      <c r="F130" s="10" t="s">
        <v>51</v>
      </c>
      <c r="G130" s="10">
        <v>1</v>
      </c>
      <c r="H130" s="10" t="s">
        <v>19</v>
      </c>
      <c r="I130" s="11">
        <v>1625</v>
      </c>
      <c r="J130" s="12">
        <v>4</v>
      </c>
      <c r="K130" s="7"/>
      <c r="L130" s="13">
        <f t="shared" ref="L130:L178" si="4">$K130*$I130</f>
        <v>0</v>
      </c>
      <c r="M130" s="13">
        <f t="shared" ref="M130:M178" si="5">$L130*$G130</f>
        <v>0</v>
      </c>
    </row>
    <row r="131" spans="1:13" s="3" customFormat="1" ht="19.5" customHeight="1" x14ac:dyDescent="0.25">
      <c r="A131" s="9" t="s">
        <v>147</v>
      </c>
      <c r="B131" s="10" t="s">
        <v>141</v>
      </c>
      <c r="C131" s="10" t="s">
        <v>142</v>
      </c>
      <c r="D131" s="9">
        <v>55811</v>
      </c>
      <c r="E131" s="10" t="s">
        <v>149</v>
      </c>
      <c r="F131" s="10" t="s">
        <v>150</v>
      </c>
      <c r="G131" s="10">
        <v>1</v>
      </c>
      <c r="H131" s="10" t="s">
        <v>19</v>
      </c>
      <c r="I131" s="11">
        <v>1333</v>
      </c>
      <c r="J131" s="12">
        <v>3</v>
      </c>
      <c r="K131" s="7"/>
      <c r="L131" s="13">
        <f t="shared" si="4"/>
        <v>0</v>
      </c>
      <c r="M131" s="13">
        <f t="shared" si="5"/>
        <v>0</v>
      </c>
    </row>
    <row r="132" spans="1:13" s="3" customFormat="1" ht="19.5" customHeight="1" x14ac:dyDescent="0.25">
      <c r="A132" s="9" t="s">
        <v>147</v>
      </c>
      <c r="B132" s="10" t="s">
        <v>141</v>
      </c>
      <c r="C132" s="10" t="s">
        <v>142</v>
      </c>
      <c r="D132" s="9" t="s">
        <v>151</v>
      </c>
      <c r="E132" s="10" t="s">
        <v>152</v>
      </c>
      <c r="F132" s="10" t="s">
        <v>56</v>
      </c>
      <c r="G132" s="10">
        <v>1</v>
      </c>
      <c r="H132" s="10" t="s">
        <v>19</v>
      </c>
      <c r="I132" s="11">
        <v>1337</v>
      </c>
      <c r="J132" s="12">
        <v>3</v>
      </c>
      <c r="K132" s="7"/>
      <c r="L132" s="13">
        <f t="shared" si="4"/>
        <v>0</v>
      </c>
      <c r="M132" s="13">
        <f t="shared" si="5"/>
        <v>0</v>
      </c>
    </row>
    <row r="133" spans="1:13" s="3" customFormat="1" ht="19.5" customHeight="1" x14ac:dyDescent="0.25">
      <c r="A133" s="9" t="s">
        <v>147</v>
      </c>
      <c r="B133" s="10" t="s">
        <v>141</v>
      </c>
      <c r="C133" s="10" t="s">
        <v>142</v>
      </c>
      <c r="D133" s="9" t="s">
        <v>153</v>
      </c>
      <c r="E133" s="10" t="s">
        <v>154</v>
      </c>
      <c r="F133" s="10" t="s">
        <v>22</v>
      </c>
      <c r="G133" s="10">
        <v>2</v>
      </c>
      <c r="H133" s="10" t="s">
        <v>19</v>
      </c>
      <c r="I133" s="11">
        <v>317</v>
      </c>
      <c r="J133" s="12">
        <v>1</v>
      </c>
      <c r="K133" s="7"/>
      <c r="L133" s="13">
        <f t="shared" si="4"/>
        <v>0</v>
      </c>
      <c r="M133" s="13">
        <f t="shared" si="5"/>
        <v>0</v>
      </c>
    </row>
    <row r="134" spans="1:13" s="3" customFormat="1" ht="19.5" customHeight="1" x14ac:dyDescent="0.25">
      <c r="A134" s="9" t="s">
        <v>147</v>
      </c>
      <c r="B134" s="10" t="s">
        <v>141</v>
      </c>
      <c r="C134" s="10" t="s">
        <v>142</v>
      </c>
      <c r="D134" s="9">
        <v>61615</v>
      </c>
      <c r="E134" s="10" t="s">
        <v>155</v>
      </c>
      <c r="F134" s="10" t="s">
        <v>45</v>
      </c>
      <c r="G134" s="10">
        <v>1</v>
      </c>
      <c r="H134" s="10" t="s">
        <v>19</v>
      </c>
      <c r="I134" s="11">
        <v>988</v>
      </c>
      <c r="J134" s="12">
        <v>2</v>
      </c>
      <c r="K134" s="7"/>
      <c r="L134" s="13">
        <f t="shared" si="4"/>
        <v>0</v>
      </c>
      <c r="M134" s="13">
        <f t="shared" si="5"/>
        <v>0</v>
      </c>
    </row>
    <row r="135" spans="1:13" s="3" customFormat="1" ht="19.5" customHeight="1" x14ac:dyDescent="0.25">
      <c r="A135" s="9" t="s">
        <v>147</v>
      </c>
      <c r="B135" s="10" t="s">
        <v>141</v>
      </c>
      <c r="C135" s="10" t="s">
        <v>142</v>
      </c>
      <c r="D135" s="9" t="s">
        <v>156</v>
      </c>
      <c r="E135" s="10" t="s">
        <v>157</v>
      </c>
      <c r="F135" s="10" t="s">
        <v>158</v>
      </c>
      <c r="G135" s="10">
        <v>1</v>
      </c>
      <c r="H135" s="10" t="s">
        <v>19</v>
      </c>
      <c r="I135" s="11">
        <v>449</v>
      </c>
      <c r="J135" s="12">
        <v>1</v>
      </c>
      <c r="K135" s="7"/>
      <c r="L135" s="13">
        <f t="shared" si="4"/>
        <v>0</v>
      </c>
      <c r="M135" s="13">
        <f t="shared" si="5"/>
        <v>0</v>
      </c>
    </row>
    <row r="136" spans="1:13" s="3" customFormat="1" ht="19.5" customHeight="1" x14ac:dyDescent="0.25">
      <c r="A136" s="9" t="s">
        <v>147</v>
      </c>
      <c r="B136" s="10" t="s">
        <v>141</v>
      </c>
      <c r="C136" s="10" t="s">
        <v>142</v>
      </c>
      <c r="D136" s="9" t="s">
        <v>159</v>
      </c>
      <c r="E136" s="10" t="s">
        <v>160</v>
      </c>
      <c r="F136" s="10" t="s">
        <v>128</v>
      </c>
      <c r="G136" s="10">
        <v>1</v>
      </c>
      <c r="H136" s="10" t="s">
        <v>19</v>
      </c>
      <c r="I136" s="11">
        <v>3009</v>
      </c>
      <c r="J136" s="12">
        <v>6</v>
      </c>
      <c r="K136" s="7"/>
      <c r="L136" s="13">
        <f t="shared" si="4"/>
        <v>0</v>
      </c>
      <c r="M136" s="13">
        <f t="shared" si="5"/>
        <v>0</v>
      </c>
    </row>
    <row r="137" spans="1:13" s="3" customFormat="1" ht="19.5" customHeight="1" x14ac:dyDescent="0.25">
      <c r="A137" s="9" t="s">
        <v>147</v>
      </c>
      <c r="B137" s="10" t="s">
        <v>141</v>
      </c>
      <c r="C137" s="10" t="s">
        <v>142</v>
      </c>
      <c r="D137" s="9" t="s">
        <v>161</v>
      </c>
      <c r="E137" s="10" t="s">
        <v>162</v>
      </c>
      <c r="F137" s="10" t="s">
        <v>38</v>
      </c>
      <c r="G137" s="10">
        <v>1</v>
      </c>
      <c r="H137" s="10" t="s">
        <v>19</v>
      </c>
      <c r="I137" s="11">
        <v>3072</v>
      </c>
      <c r="J137" s="12">
        <v>7</v>
      </c>
      <c r="K137" s="7"/>
      <c r="L137" s="13">
        <f t="shared" si="4"/>
        <v>0</v>
      </c>
      <c r="M137" s="13">
        <f t="shared" si="5"/>
        <v>0</v>
      </c>
    </row>
    <row r="138" spans="1:13" s="3" customFormat="1" ht="19.5" customHeight="1" x14ac:dyDescent="0.25">
      <c r="A138" s="9" t="s">
        <v>147</v>
      </c>
      <c r="B138" s="10" t="s">
        <v>141</v>
      </c>
      <c r="C138" s="10" t="s">
        <v>142</v>
      </c>
      <c r="D138" s="9">
        <v>20166</v>
      </c>
      <c r="E138" s="10" t="s">
        <v>163</v>
      </c>
      <c r="F138" s="10" t="s">
        <v>22</v>
      </c>
      <c r="G138" s="10">
        <v>1</v>
      </c>
      <c r="H138" s="10" t="s">
        <v>19</v>
      </c>
      <c r="I138" s="11">
        <v>325</v>
      </c>
      <c r="J138" s="12">
        <v>1</v>
      </c>
      <c r="K138" s="7"/>
      <c r="L138" s="13">
        <f t="shared" si="4"/>
        <v>0</v>
      </c>
      <c r="M138" s="13">
        <f t="shared" si="5"/>
        <v>0</v>
      </c>
    </row>
    <row r="139" spans="1:13" s="3" customFormat="1" ht="19.5" customHeight="1" x14ac:dyDescent="0.25">
      <c r="A139" s="9" t="s">
        <v>147</v>
      </c>
      <c r="B139" s="10" t="s">
        <v>141</v>
      </c>
      <c r="C139" s="10" t="s">
        <v>142</v>
      </c>
      <c r="D139" s="9">
        <v>85705</v>
      </c>
      <c r="E139" s="10" t="s">
        <v>164</v>
      </c>
      <c r="F139" s="10" t="s">
        <v>165</v>
      </c>
      <c r="G139" s="10">
        <v>1</v>
      </c>
      <c r="H139" s="10" t="s">
        <v>19</v>
      </c>
      <c r="I139" s="11">
        <v>2504</v>
      </c>
      <c r="J139" s="12">
        <v>6</v>
      </c>
      <c r="K139" s="7"/>
      <c r="L139" s="13">
        <f t="shared" si="4"/>
        <v>0</v>
      </c>
      <c r="M139" s="13">
        <f t="shared" si="5"/>
        <v>0</v>
      </c>
    </row>
    <row r="140" spans="1:13" s="3" customFormat="1" ht="19.5" customHeight="1" x14ac:dyDescent="0.25">
      <c r="A140" s="9" t="s">
        <v>166</v>
      </c>
      <c r="B140" s="10" t="s">
        <v>167</v>
      </c>
      <c r="C140" s="10" t="s">
        <v>168</v>
      </c>
      <c r="D140" s="9" t="s">
        <v>29</v>
      </c>
      <c r="E140" s="10" t="s">
        <v>30</v>
      </c>
      <c r="F140" s="10" t="s">
        <v>31</v>
      </c>
      <c r="G140" s="10">
        <v>1</v>
      </c>
      <c r="H140" s="10" t="s">
        <v>19</v>
      </c>
      <c r="I140" s="11">
        <v>585</v>
      </c>
      <c r="J140" s="12">
        <v>2</v>
      </c>
      <c r="K140" s="7"/>
      <c r="L140" s="13">
        <f t="shared" si="4"/>
        <v>0</v>
      </c>
      <c r="M140" s="13">
        <f t="shared" si="5"/>
        <v>0</v>
      </c>
    </row>
    <row r="141" spans="1:13" s="3" customFormat="1" ht="19.5" customHeight="1" x14ac:dyDescent="0.25">
      <c r="A141" s="9" t="s">
        <v>166</v>
      </c>
      <c r="B141" s="10" t="s">
        <v>167</v>
      </c>
      <c r="C141" s="10" t="s">
        <v>168</v>
      </c>
      <c r="D141" s="9" t="s">
        <v>16</v>
      </c>
      <c r="E141" s="10" t="s">
        <v>17</v>
      </c>
      <c r="F141" s="10" t="s">
        <v>18</v>
      </c>
      <c r="G141" s="10">
        <v>1</v>
      </c>
      <c r="H141" s="10" t="s">
        <v>19</v>
      </c>
      <c r="I141" s="11">
        <v>264</v>
      </c>
      <c r="J141" s="12">
        <v>1</v>
      </c>
      <c r="K141" s="7"/>
      <c r="L141" s="13">
        <f t="shared" si="4"/>
        <v>0</v>
      </c>
      <c r="M141" s="13">
        <f t="shared" si="5"/>
        <v>0</v>
      </c>
    </row>
    <row r="142" spans="1:13" s="3" customFormat="1" ht="19.5" customHeight="1" x14ac:dyDescent="0.25">
      <c r="A142" s="9" t="s">
        <v>169</v>
      </c>
      <c r="B142" s="10" t="s">
        <v>170</v>
      </c>
      <c r="C142" s="10" t="s">
        <v>94</v>
      </c>
      <c r="D142" s="9" t="s">
        <v>16</v>
      </c>
      <c r="E142" s="10" t="s">
        <v>17</v>
      </c>
      <c r="F142" s="10" t="s">
        <v>18</v>
      </c>
      <c r="G142" s="10">
        <v>41</v>
      </c>
      <c r="H142" s="10" t="s">
        <v>19</v>
      </c>
      <c r="I142" s="11">
        <v>322</v>
      </c>
      <c r="J142" s="12">
        <v>1</v>
      </c>
      <c r="K142" s="7"/>
      <c r="L142" s="13">
        <f t="shared" si="4"/>
        <v>0</v>
      </c>
      <c r="M142" s="13">
        <f t="shared" si="5"/>
        <v>0</v>
      </c>
    </row>
    <row r="143" spans="1:13" s="3" customFormat="1" ht="19.5" customHeight="1" x14ac:dyDescent="0.25">
      <c r="A143" s="9">
        <v>43143</v>
      </c>
      <c r="B143" s="10" t="s">
        <v>171</v>
      </c>
      <c r="C143" s="10" t="s">
        <v>94</v>
      </c>
      <c r="D143" s="9" t="s">
        <v>16</v>
      </c>
      <c r="E143" s="10" t="s">
        <v>17</v>
      </c>
      <c r="F143" s="10" t="s">
        <v>18</v>
      </c>
      <c r="G143" s="10">
        <v>10</v>
      </c>
      <c r="H143" s="10" t="s">
        <v>19</v>
      </c>
      <c r="I143" s="11">
        <v>361</v>
      </c>
      <c r="J143" s="12">
        <v>1</v>
      </c>
      <c r="K143" s="7"/>
      <c r="L143" s="13">
        <f t="shared" si="4"/>
        <v>0</v>
      </c>
      <c r="M143" s="13">
        <f t="shared" si="5"/>
        <v>0</v>
      </c>
    </row>
    <row r="144" spans="1:13" s="3" customFormat="1" ht="19.5" customHeight="1" x14ac:dyDescent="0.25">
      <c r="A144" s="9">
        <v>91950</v>
      </c>
      <c r="B144" s="10" t="s">
        <v>42</v>
      </c>
      <c r="C144" s="10" t="s">
        <v>38</v>
      </c>
      <c r="D144" s="9">
        <v>32219</v>
      </c>
      <c r="E144" s="10" t="s">
        <v>40</v>
      </c>
      <c r="F144" s="10" t="s">
        <v>56</v>
      </c>
      <c r="G144" s="10">
        <v>1</v>
      </c>
      <c r="H144" s="10" t="s">
        <v>19</v>
      </c>
      <c r="I144" s="11">
        <v>2373</v>
      </c>
      <c r="J144" s="12">
        <v>5</v>
      </c>
      <c r="K144" s="7"/>
      <c r="L144" s="13">
        <f t="shared" si="4"/>
        <v>0</v>
      </c>
      <c r="M144" s="13">
        <f t="shared" si="5"/>
        <v>0</v>
      </c>
    </row>
    <row r="145" spans="1:13" s="3" customFormat="1" ht="19.5" customHeight="1" x14ac:dyDescent="0.25">
      <c r="A145" s="9" t="s">
        <v>172</v>
      </c>
      <c r="B145" s="10" t="s">
        <v>173</v>
      </c>
      <c r="C145" s="10" t="s">
        <v>28</v>
      </c>
      <c r="D145" s="9" t="s">
        <v>16</v>
      </c>
      <c r="E145" s="10" t="s">
        <v>17</v>
      </c>
      <c r="F145" s="10" t="s">
        <v>18</v>
      </c>
      <c r="G145" s="10">
        <v>37</v>
      </c>
      <c r="H145" s="10" t="s">
        <v>19</v>
      </c>
      <c r="I145" s="11">
        <v>293</v>
      </c>
      <c r="J145" s="12">
        <v>1</v>
      </c>
      <c r="K145" s="7"/>
      <c r="L145" s="13">
        <f t="shared" si="4"/>
        <v>0</v>
      </c>
      <c r="M145" s="13">
        <f t="shared" si="5"/>
        <v>0</v>
      </c>
    </row>
    <row r="146" spans="1:13" s="3" customFormat="1" ht="19.5" customHeight="1" x14ac:dyDescent="0.25">
      <c r="A146" s="9" t="s">
        <v>57</v>
      </c>
      <c r="B146" s="10" t="s">
        <v>58</v>
      </c>
      <c r="C146" s="10" t="s">
        <v>38</v>
      </c>
      <c r="D146" s="9" t="s">
        <v>16</v>
      </c>
      <c r="E146" s="10" t="s">
        <v>17</v>
      </c>
      <c r="F146" s="10" t="s">
        <v>18</v>
      </c>
      <c r="G146" s="10">
        <v>1</v>
      </c>
      <c r="H146" s="10" t="s">
        <v>19</v>
      </c>
      <c r="I146" s="11">
        <v>2121</v>
      </c>
      <c r="J146" s="12">
        <v>5</v>
      </c>
      <c r="K146" s="7"/>
      <c r="L146" s="13">
        <f t="shared" si="4"/>
        <v>0</v>
      </c>
      <c r="M146" s="13">
        <f t="shared" si="5"/>
        <v>0</v>
      </c>
    </row>
    <row r="147" spans="1:13" s="3" customFormat="1" ht="19.5" customHeight="1" x14ac:dyDescent="0.25">
      <c r="A147" s="9">
        <v>91761</v>
      </c>
      <c r="B147" s="10" t="s">
        <v>58</v>
      </c>
      <c r="C147" s="10" t="s">
        <v>38</v>
      </c>
      <c r="D147" s="9" t="s">
        <v>16</v>
      </c>
      <c r="E147" s="10" t="s">
        <v>52</v>
      </c>
      <c r="F147" s="10" t="s">
        <v>53</v>
      </c>
      <c r="G147" s="10">
        <v>2</v>
      </c>
      <c r="H147" s="10" t="s">
        <v>19</v>
      </c>
      <c r="I147" s="11">
        <v>2014</v>
      </c>
      <c r="J147" s="12">
        <v>4</v>
      </c>
      <c r="K147" s="7"/>
      <c r="L147" s="13">
        <f t="shared" si="4"/>
        <v>0</v>
      </c>
      <c r="M147" s="13">
        <f t="shared" si="5"/>
        <v>0</v>
      </c>
    </row>
    <row r="148" spans="1:13" s="3" customFormat="1" ht="19.5" customHeight="1" x14ac:dyDescent="0.25">
      <c r="A148" s="9" t="s">
        <v>59</v>
      </c>
      <c r="B148" s="10" t="s">
        <v>52</v>
      </c>
      <c r="C148" s="10" t="s">
        <v>53</v>
      </c>
      <c r="D148" s="9" t="s">
        <v>90</v>
      </c>
      <c r="E148" s="10" t="s">
        <v>91</v>
      </c>
      <c r="F148" s="10" t="s">
        <v>51</v>
      </c>
      <c r="G148" s="10">
        <v>3</v>
      </c>
      <c r="H148" s="10" t="s">
        <v>19</v>
      </c>
      <c r="I148" s="11">
        <v>1131</v>
      </c>
      <c r="J148" s="12">
        <v>3</v>
      </c>
      <c r="K148" s="7"/>
      <c r="L148" s="13">
        <f t="shared" si="4"/>
        <v>0</v>
      </c>
      <c r="M148" s="13">
        <f t="shared" si="5"/>
        <v>0</v>
      </c>
    </row>
    <row r="149" spans="1:13" s="3" customFormat="1" ht="19.5" customHeight="1" x14ac:dyDescent="0.25">
      <c r="A149" s="9" t="s">
        <v>59</v>
      </c>
      <c r="B149" s="10" t="s">
        <v>52</v>
      </c>
      <c r="C149" s="10" t="s">
        <v>53</v>
      </c>
      <c r="D149" s="9">
        <v>32219</v>
      </c>
      <c r="E149" s="10" t="s">
        <v>40</v>
      </c>
      <c r="F149" s="10" t="s">
        <v>53</v>
      </c>
      <c r="G149" s="10">
        <v>1</v>
      </c>
      <c r="H149" s="10" t="s">
        <v>19</v>
      </c>
      <c r="I149" s="11">
        <v>1113</v>
      </c>
      <c r="J149" s="12">
        <v>3</v>
      </c>
      <c r="K149" s="7"/>
      <c r="L149" s="13">
        <f t="shared" si="4"/>
        <v>0</v>
      </c>
      <c r="M149" s="13">
        <f t="shared" si="5"/>
        <v>0</v>
      </c>
    </row>
    <row r="150" spans="1:13" s="3" customFormat="1" ht="19.5" customHeight="1" x14ac:dyDescent="0.25">
      <c r="A150" s="9">
        <v>32405</v>
      </c>
      <c r="B150" s="10" t="s">
        <v>174</v>
      </c>
      <c r="C150" s="10" t="s">
        <v>56</v>
      </c>
      <c r="D150" s="9">
        <v>48126</v>
      </c>
      <c r="E150" s="10" t="s">
        <v>30</v>
      </c>
      <c r="F150" s="10" t="s">
        <v>31</v>
      </c>
      <c r="G150" s="10">
        <v>1</v>
      </c>
      <c r="H150" s="10" t="s">
        <v>19</v>
      </c>
      <c r="I150" s="11">
        <v>989</v>
      </c>
      <c r="J150" s="12">
        <v>2</v>
      </c>
      <c r="K150" s="7"/>
      <c r="L150" s="13">
        <f t="shared" si="4"/>
        <v>0</v>
      </c>
      <c r="M150" s="13">
        <f t="shared" si="5"/>
        <v>0</v>
      </c>
    </row>
    <row r="151" spans="1:13" s="3" customFormat="1" ht="19.5" customHeight="1" x14ac:dyDescent="0.25">
      <c r="A151" s="9">
        <v>32405</v>
      </c>
      <c r="B151" s="10" t="s">
        <v>174</v>
      </c>
      <c r="C151" s="10" t="s">
        <v>56</v>
      </c>
      <c r="D151" s="9">
        <v>37771</v>
      </c>
      <c r="E151" s="10" t="s">
        <v>17</v>
      </c>
      <c r="F151" s="10" t="s">
        <v>18</v>
      </c>
      <c r="G151" s="10">
        <v>1</v>
      </c>
      <c r="H151" s="10" t="s">
        <v>19</v>
      </c>
      <c r="I151" s="11">
        <v>476</v>
      </c>
      <c r="J151" s="12">
        <v>1</v>
      </c>
      <c r="K151" s="7"/>
      <c r="L151" s="13">
        <f t="shared" si="4"/>
        <v>0</v>
      </c>
      <c r="M151" s="13">
        <f t="shared" si="5"/>
        <v>0</v>
      </c>
    </row>
    <row r="152" spans="1:13" s="3" customFormat="1" ht="19.5" customHeight="1" x14ac:dyDescent="0.25">
      <c r="A152" s="9">
        <v>85043</v>
      </c>
      <c r="B152" s="10" t="s">
        <v>175</v>
      </c>
      <c r="C152" s="10" t="s">
        <v>165</v>
      </c>
      <c r="D152" s="9">
        <v>76052</v>
      </c>
      <c r="E152" s="10" t="s">
        <v>50</v>
      </c>
      <c r="F152" s="10" t="s">
        <v>51</v>
      </c>
      <c r="G152" s="10">
        <v>1</v>
      </c>
      <c r="H152" s="10" t="s">
        <v>19</v>
      </c>
      <c r="I152" s="11">
        <v>1056</v>
      </c>
      <c r="J152" s="12">
        <v>3</v>
      </c>
      <c r="K152" s="7"/>
      <c r="L152" s="13">
        <f t="shared" si="4"/>
        <v>0</v>
      </c>
      <c r="M152" s="13">
        <f t="shared" si="5"/>
        <v>0</v>
      </c>
    </row>
    <row r="153" spans="1:13" s="3" customFormat="1" ht="19.5" customHeight="1" x14ac:dyDescent="0.25">
      <c r="A153" s="9">
        <v>53158</v>
      </c>
      <c r="B153" s="10" t="s">
        <v>52</v>
      </c>
      <c r="C153" s="10" t="s">
        <v>53</v>
      </c>
      <c r="D153" s="9">
        <v>32219</v>
      </c>
      <c r="E153" s="10" t="s">
        <v>40</v>
      </c>
      <c r="F153" s="10" t="s">
        <v>56</v>
      </c>
      <c r="G153" s="10">
        <v>2</v>
      </c>
      <c r="H153" s="10" t="s">
        <v>19</v>
      </c>
      <c r="I153" s="11">
        <v>1113</v>
      </c>
      <c r="J153" s="12">
        <v>3</v>
      </c>
      <c r="K153" s="7"/>
      <c r="L153" s="13">
        <f t="shared" si="4"/>
        <v>0</v>
      </c>
      <c r="M153" s="13">
        <f t="shared" si="5"/>
        <v>0</v>
      </c>
    </row>
    <row r="154" spans="1:13" s="3" customFormat="1" ht="19.5" customHeight="1" x14ac:dyDescent="0.25">
      <c r="A154" s="9" t="s">
        <v>176</v>
      </c>
      <c r="B154" s="10" t="s">
        <v>177</v>
      </c>
      <c r="C154" s="10" t="s">
        <v>31</v>
      </c>
      <c r="D154" s="9" t="s">
        <v>29</v>
      </c>
      <c r="E154" s="10" t="s">
        <v>30</v>
      </c>
      <c r="F154" s="10" t="s">
        <v>31</v>
      </c>
      <c r="G154" s="10">
        <v>2</v>
      </c>
      <c r="H154" s="10" t="s">
        <v>19</v>
      </c>
      <c r="I154" s="11">
        <v>32</v>
      </c>
      <c r="J154" s="12">
        <v>1</v>
      </c>
      <c r="K154" s="7"/>
      <c r="L154" s="13">
        <f t="shared" si="4"/>
        <v>0</v>
      </c>
      <c r="M154" s="13">
        <f t="shared" si="5"/>
        <v>0</v>
      </c>
    </row>
    <row r="155" spans="1:13" s="3" customFormat="1" ht="19.5" customHeight="1" x14ac:dyDescent="0.25">
      <c r="A155" s="9" t="s">
        <v>178</v>
      </c>
      <c r="B155" s="10" t="s">
        <v>179</v>
      </c>
      <c r="C155" s="10" t="s">
        <v>180</v>
      </c>
      <c r="D155" s="9" t="s">
        <v>29</v>
      </c>
      <c r="E155" s="10" t="s">
        <v>30</v>
      </c>
      <c r="F155" s="10" t="s">
        <v>31</v>
      </c>
      <c r="G155" s="10">
        <v>3</v>
      </c>
      <c r="H155" s="10" t="s">
        <v>19</v>
      </c>
      <c r="I155" s="11">
        <v>341</v>
      </c>
      <c r="J155" s="12">
        <v>1</v>
      </c>
      <c r="K155" s="7"/>
      <c r="L155" s="13">
        <f t="shared" si="4"/>
        <v>0</v>
      </c>
      <c r="M155" s="13">
        <f t="shared" si="5"/>
        <v>0</v>
      </c>
    </row>
    <row r="156" spans="1:13" s="3" customFormat="1" ht="19.5" customHeight="1" x14ac:dyDescent="0.25">
      <c r="A156" s="9" t="s">
        <v>181</v>
      </c>
      <c r="B156" s="10" t="s">
        <v>182</v>
      </c>
      <c r="C156" s="10" t="s">
        <v>18</v>
      </c>
      <c r="D156" s="9" t="s">
        <v>16</v>
      </c>
      <c r="E156" s="10" t="s">
        <v>17</v>
      </c>
      <c r="F156" s="10" t="s">
        <v>18</v>
      </c>
      <c r="G156" s="10">
        <v>5</v>
      </c>
      <c r="H156" s="10" t="s">
        <v>19</v>
      </c>
      <c r="I156" s="11">
        <v>212</v>
      </c>
      <c r="J156" s="12">
        <v>1</v>
      </c>
      <c r="K156" s="7"/>
      <c r="L156" s="13">
        <f t="shared" si="4"/>
        <v>0</v>
      </c>
      <c r="M156" s="13">
        <f t="shared" si="5"/>
        <v>0</v>
      </c>
    </row>
    <row r="157" spans="1:13" s="3" customFormat="1" ht="19.5" customHeight="1" x14ac:dyDescent="0.25">
      <c r="A157" s="9">
        <v>64150</v>
      </c>
      <c r="B157" s="10" t="s">
        <v>74</v>
      </c>
      <c r="C157" s="10" t="s">
        <v>75</v>
      </c>
      <c r="D157" s="9">
        <v>37416</v>
      </c>
      <c r="E157" s="10" t="s">
        <v>63</v>
      </c>
      <c r="F157" s="10" t="s">
        <v>18</v>
      </c>
      <c r="G157" s="10">
        <v>4</v>
      </c>
      <c r="H157" s="10" t="s">
        <v>19</v>
      </c>
      <c r="I157" s="11">
        <v>710</v>
      </c>
      <c r="J157" s="12">
        <v>2</v>
      </c>
      <c r="K157" s="7"/>
      <c r="L157" s="13">
        <f t="shared" si="4"/>
        <v>0</v>
      </c>
      <c r="M157" s="13">
        <f t="shared" si="5"/>
        <v>0</v>
      </c>
    </row>
    <row r="158" spans="1:13" s="3" customFormat="1" ht="19.5" customHeight="1" x14ac:dyDescent="0.25">
      <c r="A158" s="9" t="s">
        <v>60</v>
      </c>
      <c r="B158" s="10" t="s">
        <v>61</v>
      </c>
      <c r="C158" s="10" t="s">
        <v>38</v>
      </c>
      <c r="D158" s="9" t="s">
        <v>90</v>
      </c>
      <c r="E158" s="10" t="s">
        <v>91</v>
      </c>
      <c r="F158" s="10" t="s">
        <v>51</v>
      </c>
      <c r="G158" s="10">
        <v>1</v>
      </c>
      <c r="H158" s="10" t="s">
        <v>19</v>
      </c>
      <c r="I158" s="11">
        <v>2007</v>
      </c>
      <c r="J158" s="12">
        <v>4</v>
      </c>
      <c r="K158" s="7"/>
      <c r="L158" s="13">
        <f t="shared" si="4"/>
        <v>0</v>
      </c>
      <c r="M158" s="13">
        <f t="shared" si="5"/>
        <v>0</v>
      </c>
    </row>
    <row r="159" spans="1:13" s="3" customFormat="1" ht="19.5" customHeight="1" x14ac:dyDescent="0.25">
      <c r="A159" s="9" t="s">
        <v>60</v>
      </c>
      <c r="B159" s="10" t="s">
        <v>61</v>
      </c>
      <c r="C159" s="10" t="s">
        <v>38</v>
      </c>
      <c r="D159" s="9">
        <v>94510</v>
      </c>
      <c r="E159" s="10" t="s">
        <v>37</v>
      </c>
      <c r="F159" s="10" t="s">
        <v>38</v>
      </c>
      <c r="G159" s="10">
        <v>1</v>
      </c>
      <c r="H159" s="10" t="s">
        <v>19</v>
      </c>
      <c r="I159" s="11">
        <v>80</v>
      </c>
      <c r="J159" s="12">
        <v>1</v>
      </c>
      <c r="K159" s="7"/>
      <c r="L159" s="13">
        <f t="shared" si="4"/>
        <v>0</v>
      </c>
      <c r="M159" s="13">
        <f t="shared" si="5"/>
        <v>0</v>
      </c>
    </row>
    <row r="160" spans="1:13" s="3" customFormat="1" ht="19.5" customHeight="1" x14ac:dyDescent="0.25">
      <c r="A160" s="9" t="s">
        <v>60</v>
      </c>
      <c r="B160" s="10" t="s">
        <v>61</v>
      </c>
      <c r="C160" s="10" t="s">
        <v>38</v>
      </c>
      <c r="D160" s="9">
        <v>53158</v>
      </c>
      <c r="E160" s="10" t="s">
        <v>52</v>
      </c>
      <c r="F160" s="10" t="s">
        <v>53</v>
      </c>
      <c r="G160" s="10">
        <v>3</v>
      </c>
      <c r="H160" s="10" t="s">
        <v>19</v>
      </c>
      <c r="I160" s="11">
        <v>2066</v>
      </c>
      <c r="J160" s="12">
        <v>4</v>
      </c>
      <c r="K160" s="7"/>
      <c r="L160" s="13">
        <f t="shared" si="4"/>
        <v>0</v>
      </c>
      <c r="M160" s="13">
        <f t="shared" si="5"/>
        <v>0</v>
      </c>
    </row>
    <row r="161" spans="1:13" s="3" customFormat="1" ht="19.5" customHeight="1" x14ac:dyDescent="0.25">
      <c r="A161" s="9" t="s">
        <v>183</v>
      </c>
      <c r="B161" s="10" t="s">
        <v>184</v>
      </c>
      <c r="C161" s="10" t="s">
        <v>107</v>
      </c>
      <c r="D161" s="9" t="s">
        <v>29</v>
      </c>
      <c r="E161" s="10" t="s">
        <v>30</v>
      </c>
      <c r="F161" s="10" t="s">
        <v>31</v>
      </c>
      <c r="G161" s="10">
        <v>8</v>
      </c>
      <c r="H161" s="10" t="s">
        <v>19</v>
      </c>
      <c r="I161" s="11">
        <v>504</v>
      </c>
      <c r="J161" s="12">
        <v>2</v>
      </c>
      <c r="K161" s="7"/>
      <c r="L161" s="13">
        <f t="shared" si="4"/>
        <v>0</v>
      </c>
      <c r="M161" s="13">
        <f t="shared" si="5"/>
        <v>0</v>
      </c>
    </row>
    <row r="162" spans="1:13" s="3" customFormat="1" ht="19.5" customHeight="1" x14ac:dyDescent="0.25">
      <c r="A162" s="9">
        <v>42276</v>
      </c>
      <c r="B162" s="10" t="s">
        <v>184</v>
      </c>
      <c r="C162" s="10" t="s">
        <v>107</v>
      </c>
      <c r="D162" s="9">
        <v>37771</v>
      </c>
      <c r="E162" s="10" t="s">
        <v>17</v>
      </c>
      <c r="F162" s="10" t="s">
        <v>18</v>
      </c>
      <c r="G162" s="10">
        <v>4</v>
      </c>
      <c r="H162" s="10" t="s">
        <v>19</v>
      </c>
      <c r="I162" s="11">
        <v>195</v>
      </c>
      <c r="J162" s="12">
        <v>1</v>
      </c>
      <c r="K162" s="7"/>
      <c r="L162" s="13">
        <f t="shared" si="4"/>
        <v>0</v>
      </c>
      <c r="M162" s="13">
        <f t="shared" si="5"/>
        <v>0</v>
      </c>
    </row>
    <row r="163" spans="1:13" s="3" customFormat="1" ht="19.5" customHeight="1" x14ac:dyDescent="0.25">
      <c r="A163" s="9" t="s">
        <v>185</v>
      </c>
      <c r="B163" s="10" t="s">
        <v>186</v>
      </c>
      <c r="C163" s="10" t="s">
        <v>187</v>
      </c>
      <c r="D163" s="9">
        <v>48126</v>
      </c>
      <c r="E163" s="10" t="s">
        <v>30</v>
      </c>
      <c r="F163" s="10" t="s">
        <v>31</v>
      </c>
      <c r="G163" s="10">
        <v>55</v>
      </c>
      <c r="H163" s="10" t="s">
        <v>19</v>
      </c>
      <c r="I163" s="11">
        <v>335</v>
      </c>
      <c r="J163" s="12">
        <v>1</v>
      </c>
      <c r="K163" s="7"/>
      <c r="L163" s="13">
        <f t="shared" si="4"/>
        <v>0</v>
      </c>
      <c r="M163" s="13">
        <f t="shared" si="5"/>
        <v>0</v>
      </c>
    </row>
    <row r="164" spans="1:13" s="3" customFormat="1" ht="19.5" customHeight="1" x14ac:dyDescent="0.25">
      <c r="A164" s="9" t="s">
        <v>76</v>
      </c>
      <c r="B164" s="10" t="s">
        <v>77</v>
      </c>
      <c r="C164" s="10" t="s">
        <v>45</v>
      </c>
      <c r="D164" s="9" t="s">
        <v>46</v>
      </c>
      <c r="E164" s="10" t="s">
        <v>47</v>
      </c>
      <c r="F164" s="10" t="s">
        <v>48</v>
      </c>
      <c r="G164" s="10">
        <v>12</v>
      </c>
      <c r="H164" s="10" t="s">
        <v>19</v>
      </c>
      <c r="I164" s="11">
        <v>751</v>
      </c>
      <c r="J164" s="12">
        <v>2</v>
      </c>
      <c r="K164" s="7"/>
      <c r="L164" s="13">
        <f t="shared" si="4"/>
        <v>0</v>
      </c>
      <c r="M164" s="13">
        <f t="shared" si="5"/>
        <v>0</v>
      </c>
    </row>
    <row r="165" spans="1:13" s="3" customFormat="1" ht="19.5" customHeight="1" x14ac:dyDescent="0.25">
      <c r="A165" s="9" t="s">
        <v>76</v>
      </c>
      <c r="B165" s="10" t="s">
        <v>77</v>
      </c>
      <c r="C165" s="10" t="s">
        <v>45</v>
      </c>
      <c r="D165" s="9">
        <v>94510</v>
      </c>
      <c r="E165" s="10" t="s">
        <v>37</v>
      </c>
      <c r="F165" s="10" t="s">
        <v>38</v>
      </c>
      <c r="G165" s="10">
        <v>1</v>
      </c>
      <c r="H165" s="10" t="s">
        <v>19</v>
      </c>
      <c r="I165" s="11">
        <v>2103</v>
      </c>
      <c r="J165" s="12">
        <v>5</v>
      </c>
      <c r="K165" s="7"/>
      <c r="L165" s="13">
        <f t="shared" si="4"/>
        <v>0</v>
      </c>
      <c r="M165" s="13">
        <f t="shared" si="5"/>
        <v>0</v>
      </c>
    </row>
    <row r="166" spans="1:13" s="3" customFormat="1" ht="19.5" customHeight="1" x14ac:dyDescent="0.25">
      <c r="A166" s="9" t="s">
        <v>76</v>
      </c>
      <c r="B166" s="10" t="s">
        <v>77</v>
      </c>
      <c r="C166" s="10" t="s">
        <v>45</v>
      </c>
      <c r="D166" s="9" t="s">
        <v>86</v>
      </c>
      <c r="E166" s="10" t="s">
        <v>63</v>
      </c>
      <c r="F166" s="10" t="s">
        <v>18</v>
      </c>
      <c r="G166" s="10">
        <v>41</v>
      </c>
      <c r="H166" s="10" t="s">
        <v>19</v>
      </c>
      <c r="I166" s="11">
        <v>666</v>
      </c>
      <c r="J166" s="12">
        <v>2</v>
      </c>
      <c r="K166" s="7"/>
      <c r="L166" s="13">
        <f t="shared" si="4"/>
        <v>0</v>
      </c>
      <c r="M166" s="13">
        <f t="shared" si="5"/>
        <v>0</v>
      </c>
    </row>
    <row r="167" spans="1:13" s="3" customFormat="1" ht="19.5" customHeight="1" x14ac:dyDescent="0.25">
      <c r="A167" s="9" t="s">
        <v>76</v>
      </c>
      <c r="B167" s="10" t="s">
        <v>77</v>
      </c>
      <c r="C167" s="10" t="s">
        <v>45</v>
      </c>
      <c r="D167" s="9">
        <v>8512</v>
      </c>
      <c r="E167" s="10" t="s">
        <v>24</v>
      </c>
      <c r="F167" s="10" t="s">
        <v>25</v>
      </c>
      <c r="G167" s="10">
        <v>1</v>
      </c>
      <c r="H167" s="10" t="s">
        <v>19</v>
      </c>
      <c r="I167" s="11">
        <v>849</v>
      </c>
      <c r="J167" s="12">
        <v>2</v>
      </c>
      <c r="K167" s="7"/>
      <c r="L167" s="13">
        <f t="shared" si="4"/>
        <v>0</v>
      </c>
      <c r="M167" s="13">
        <f t="shared" si="5"/>
        <v>0</v>
      </c>
    </row>
    <row r="168" spans="1:13" s="3" customFormat="1" ht="19.5" customHeight="1" x14ac:dyDescent="0.25">
      <c r="A168" s="9" t="s">
        <v>76</v>
      </c>
      <c r="B168" s="10" t="s">
        <v>77</v>
      </c>
      <c r="C168" s="10" t="s">
        <v>45</v>
      </c>
      <c r="D168" s="9" t="s">
        <v>87</v>
      </c>
      <c r="E168" s="10" t="s">
        <v>88</v>
      </c>
      <c r="F168" s="10" t="s">
        <v>51</v>
      </c>
      <c r="G168" s="10">
        <v>9</v>
      </c>
      <c r="H168" s="10" t="s">
        <v>19</v>
      </c>
      <c r="I168" s="11">
        <v>1127</v>
      </c>
      <c r="J168" s="12">
        <v>3</v>
      </c>
      <c r="K168" s="7"/>
      <c r="L168" s="13">
        <f t="shared" si="4"/>
        <v>0</v>
      </c>
      <c r="M168" s="13">
        <f t="shared" si="5"/>
        <v>0</v>
      </c>
    </row>
    <row r="169" spans="1:13" s="3" customFormat="1" ht="19.5" customHeight="1" x14ac:dyDescent="0.25">
      <c r="A169" s="9" t="s">
        <v>76</v>
      </c>
      <c r="B169" s="10" t="s">
        <v>77</v>
      </c>
      <c r="C169" s="10" t="s">
        <v>45</v>
      </c>
      <c r="D169" s="9" t="s">
        <v>39</v>
      </c>
      <c r="E169" s="10" t="s">
        <v>40</v>
      </c>
      <c r="F169" s="10" t="s">
        <v>56</v>
      </c>
      <c r="G169" s="10">
        <v>14</v>
      </c>
      <c r="H169" s="10" t="s">
        <v>19</v>
      </c>
      <c r="I169" s="11">
        <v>1117</v>
      </c>
      <c r="J169" s="12">
        <v>3</v>
      </c>
      <c r="K169" s="7"/>
      <c r="L169" s="13">
        <f t="shared" si="4"/>
        <v>0</v>
      </c>
      <c r="M169" s="13">
        <f t="shared" si="5"/>
        <v>0</v>
      </c>
    </row>
    <row r="170" spans="1:13" s="3" customFormat="1" ht="19.5" customHeight="1" x14ac:dyDescent="0.25">
      <c r="A170" s="9" t="s">
        <v>76</v>
      </c>
      <c r="B170" s="10" t="s">
        <v>77</v>
      </c>
      <c r="C170" s="10" t="s">
        <v>45</v>
      </c>
      <c r="D170" s="9" t="s">
        <v>64</v>
      </c>
      <c r="E170" s="10" t="s">
        <v>65</v>
      </c>
      <c r="F170" s="10" t="s">
        <v>51</v>
      </c>
      <c r="G170" s="10">
        <v>15</v>
      </c>
      <c r="H170" s="10" t="s">
        <v>19</v>
      </c>
      <c r="I170" s="11">
        <v>975</v>
      </c>
      <c r="J170" s="12">
        <v>2</v>
      </c>
      <c r="K170" s="7"/>
      <c r="L170" s="13">
        <f t="shared" si="4"/>
        <v>0</v>
      </c>
      <c r="M170" s="13">
        <f t="shared" si="5"/>
        <v>0</v>
      </c>
    </row>
    <row r="171" spans="1:13" s="3" customFormat="1" ht="19.5" customHeight="1" x14ac:dyDescent="0.25">
      <c r="A171" s="9" t="s">
        <v>76</v>
      </c>
      <c r="B171" s="10" t="s">
        <v>77</v>
      </c>
      <c r="C171" s="10" t="s">
        <v>45</v>
      </c>
      <c r="D171" s="9" t="s">
        <v>89</v>
      </c>
      <c r="E171" s="10" t="s">
        <v>42</v>
      </c>
      <c r="F171" s="10" t="s">
        <v>38</v>
      </c>
      <c r="G171" s="10">
        <v>9</v>
      </c>
      <c r="H171" s="10" t="s">
        <v>19</v>
      </c>
      <c r="I171" s="11">
        <v>2104</v>
      </c>
      <c r="J171" s="12">
        <v>5</v>
      </c>
      <c r="K171" s="7"/>
      <c r="L171" s="13">
        <f t="shared" si="4"/>
        <v>0</v>
      </c>
      <c r="M171" s="13">
        <f t="shared" si="5"/>
        <v>0</v>
      </c>
    </row>
    <row r="172" spans="1:13" s="3" customFormat="1" ht="19.5" customHeight="1" x14ac:dyDescent="0.25">
      <c r="A172" s="9" t="s">
        <v>76</v>
      </c>
      <c r="B172" s="10" t="s">
        <v>77</v>
      </c>
      <c r="C172" s="10" t="s">
        <v>45</v>
      </c>
      <c r="D172" s="9" t="s">
        <v>66</v>
      </c>
      <c r="E172" s="10" t="s">
        <v>67</v>
      </c>
      <c r="F172" s="10" t="s">
        <v>68</v>
      </c>
      <c r="G172" s="10">
        <v>5</v>
      </c>
      <c r="H172" s="10" t="s">
        <v>19</v>
      </c>
      <c r="I172" s="11">
        <v>995</v>
      </c>
      <c r="J172" s="12">
        <v>2</v>
      </c>
      <c r="K172" s="7"/>
      <c r="L172" s="13">
        <f t="shared" si="4"/>
        <v>0</v>
      </c>
      <c r="M172" s="13">
        <f t="shared" si="5"/>
        <v>0</v>
      </c>
    </row>
    <row r="173" spans="1:13" s="3" customFormat="1" ht="19.5" customHeight="1" x14ac:dyDescent="0.25">
      <c r="A173" s="9" t="s">
        <v>76</v>
      </c>
      <c r="B173" s="10" t="s">
        <v>77</v>
      </c>
      <c r="C173" s="10" t="s">
        <v>45</v>
      </c>
      <c r="D173" s="9">
        <v>53158</v>
      </c>
      <c r="E173" s="10" t="s">
        <v>52</v>
      </c>
      <c r="F173" s="10" t="s">
        <v>53</v>
      </c>
      <c r="G173" s="10">
        <v>2</v>
      </c>
      <c r="H173" s="10" t="s">
        <v>19</v>
      </c>
      <c r="I173" s="11">
        <v>25</v>
      </c>
      <c r="J173" s="12">
        <v>1</v>
      </c>
      <c r="K173" s="7"/>
      <c r="L173" s="13">
        <f t="shared" si="4"/>
        <v>0</v>
      </c>
      <c r="M173" s="13">
        <f t="shared" si="5"/>
        <v>0</v>
      </c>
    </row>
    <row r="174" spans="1:13" s="3" customFormat="1" ht="19.5" customHeight="1" x14ac:dyDescent="0.25">
      <c r="A174" s="9">
        <v>1085</v>
      </c>
      <c r="B174" s="10" t="s">
        <v>78</v>
      </c>
      <c r="C174" s="10" t="s">
        <v>79</v>
      </c>
      <c r="D174" s="9">
        <v>37416</v>
      </c>
      <c r="E174" s="10" t="s">
        <v>63</v>
      </c>
      <c r="F174" s="10" t="s">
        <v>18</v>
      </c>
      <c r="G174" s="10">
        <v>5</v>
      </c>
      <c r="H174" s="10" t="s">
        <v>19</v>
      </c>
      <c r="I174" s="11">
        <v>965</v>
      </c>
      <c r="J174" s="12">
        <v>2</v>
      </c>
      <c r="K174" s="7"/>
      <c r="L174" s="13">
        <f t="shared" si="4"/>
        <v>0</v>
      </c>
      <c r="M174" s="13">
        <f t="shared" si="5"/>
        <v>0</v>
      </c>
    </row>
    <row r="175" spans="1:13" s="3" customFormat="1" ht="19.5" customHeight="1" x14ac:dyDescent="0.25">
      <c r="A175" s="9">
        <v>37398</v>
      </c>
      <c r="B175" s="10" t="s">
        <v>188</v>
      </c>
      <c r="C175" s="10" t="s">
        <v>18</v>
      </c>
      <c r="D175" s="9">
        <v>8512</v>
      </c>
      <c r="E175" s="10" t="s">
        <v>24</v>
      </c>
      <c r="F175" s="10" t="s">
        <v>25</v>
      </c>
      <c r="G175" s="10">
        <v>2</v>
      </c>
      <c r="H175" s="10" t="s">
        <v>19</v>
      </c>
      <c r="I175" s="11">
        <v>840</v>
      </c>
      <c r="J175" s="12">
        <v>1</v>
      </c>
      <c r="K175" s="7"/>
      <c r="L175" s="13">
        <f t="shared" si="4"/>
        <v>0</v>
      </c>
      <c r="M175" s="13">
        <f t="shared" si="5"/>
        <v>0</v>
      </c>
    </row>
    <row r="176" spans="1:13" s="3" customFormat="1" ht="19.5" customHeight="1" x14ac:dyDescent="0.25">
      <c r="A176" s="9" t="s">
        <v>189</v>
      </c>
      <c r="B176" s="10" t="s">
        <v>188</v>
      </c>
      <c r="C176" s="10" t="s">
        <v>18</v>
      </c>
      <c r="D176" s="9" t="s">
        <v>16</v>
      </c>
      <c r="E176" s="10" t="s">
        <v>17</v>
      </c>
      <c r="F176" s="10" t="s">
        <v>18</v>
      </c>
      <c r="G176" s="10">
        <v>53</v>
      </c>
      <c r="H176" s="10" t="s">
        <v>19</v>
      </c>
      <c r="I176" s="11">
        <v>151</v>
      </c>
      <c r="J176" s="12">
        <v>1</v>
      </c>
      <c r="K176" s="7"/>
      <c r="L176" s="13">
        <f t="shared" si="4"/>
        <v>0</v>
      </c>
      <c r="M176" s="13">
        <f t="shared" si="5"/>
        <v>0</v>
      </c>
    </row>
    <row r="177" spans="1:13" s="3" customFormat="1" ht="19.5" customHeight="1" x14ac:dyDescent="0.25">
      <c r="A177" s="9" t="s">
        <v>189</v>
      </c>
      <c r="B177" s="10" t="s">
        <v>188</v>
      </c>
      <c r="C177" s="10" t="s">
        <v>18</v>
      </c>
      <c r="D177" s="9" t="s">
        <v>59</v>
      </c>
      <c r="E177" s="10" t="s">
        <v>52</v>
      </c>
      <c r="F177" s="10" t="s">
        <v>53</v>
      </c>
      <c r="G177" s="10">
        <v>2</v>
      </c>
      <c r="H177" s="10" t="s">
        <v>19</v>
      </c>
      <c r="I177" s="11">
        <v>623</v>
      </c>
      <c r="J177" s="12">
        <v>2</v>
      </c>
      <c r="K177" s="7"/>
      <c r="L177" s="13">
        <f t="shared" si="4"/>
        <v>0</v>
      </c>
      <c r="M177" s="13">
        <f t="shared" si="5"/>
        <v>0</v>
      </c>
    </row>
    <row r="178" spans="1:13" s="3" customFormat="1" ht="19.5" customHeight="1" x14ac:dyDescent="0.25">
      <c r="A178" s="9" t="s">
        <v>190</v>
      </c>
      <c r="B178" s="10" t="s">
        <v>191</v>
      </c>
      <c r="C178" s="10" t="s">
        <v>31</v>
      </c>
      <c r="D178" s="9" t="s">
        <v>86</v>
      </c>
      <c r="E178" s="10" t="s">
        <v>63</v>
      </c>
      <c r="F178" s="10" t="s">
        <v>18</v>
      </c>
      <c r="G178" s="10">
        <v>5</v>
      </c>
      <c r="H178" s="10" t="s">
        <v>19</v>
      </c>
      <c r="I178" s="11">
        <v>673</v>
      </c>
      <c r="J178" s="12">
        <v>2</v>
      </c>
      <c r="K178" s="7"/>
      <c r="L178" s="13">
        <f t="shared" si="4"/>
        <v>0</v>
      </c>
      <c r="M178" s="13">
        <f t="shared" si="5"/>
        <v>0</v>
      </c>
    </row>
    <row r="179" spans="1:13" s="3" customFormat="1" x14ac:dyDescent="0.25">
      <c r="A179" s="8"/>
      <c r="B179" s="8"/>
      <c r="C179" s="8"/>
      <c r="D179" s="8"/>
      <c r="G179" s="8"/>
      <c r="H179" s="8"/>
      <c r="M179" s="4"/>
    </row>
    <row r="180" spans="1:13" s="3" customFormat="1" ht="18.75" x14ac:dyDescent="0.25">
      <c r="A180" s="8"/>
      <c r="B180" s="8"/>
      <c r="C180" s="8"/>
      <c r="D180" s="8"/>
      <c r="G180" s="8"/>
      <c r="H180" s="8"/>
      <c r="K180" s="19" t="e">
        <f>AVERAGE(K2:K178)</f>
        <v>#DIV/0!</v>
      </c>
      <c r="L180" s="18">
        <f>AVERAGE(L2:L178)</f>
        <v>0</v>
      </c>
      <c r="M180" s="18">
        <f>SUM(M2:M178)</f>
        <v>0</v>
      </c>
    </row>
    <row r="181" spans="1:13" s="3" customFormat="1" x14ac:dyDescent="0.25">
      <c r="A181" s="8"/>
      <c r="B181" s="8"/>
      <c r="C181" s="8"/>
      <c r="D181" s="8"/>
      <c r="G181" s="8"/>
      <c r="H181" s="8"/>
    </row>
    <row r="182" spans="1:13" s="3" customFormat="1" x14ac:dyDescent="0.25">
      <c r="A182" s="8"/>
      <c r="B182" s="8"/>
      <c r="C182" s="8"/>
      <c r="D182" s="8"/>
      <c r="G182" s="8"/>
      <c r="H182" s="8"/>
    </row>
    <row r="183" spans="1:13" s="3" customFormat="1" x14ac:dyDescent="0.25">
      <c r="A183" s="8"/>
      <c r="B183" s="8"/>
      <c r="C183" s="8"/>
      <c r="D183" s="8"/>
      <c r="G183" s="8"/>
      <c r="H183" s="8"/>
    </row>
    <row r="184" spans="1:13" s="3" customFormat="1" x14ac:dyDescent="0.25">
      <c r="A184" s="8"/>
      <c r="B184" s="8"/>
      <c r="C184" s="8"/>
      <c r="D184" s="8"/>
      <c r="G184" s="8"/>
      <c r="H184" s="8"/>
    </row>
    <row r="185" spans="1:13" s="3" customFormat="1" x14ac:dyDescent="0.25">
      <c r="A185" s="8"/>
      <c r="B185" s="8"/>
      <c r="C185" s="8"/>
      <c r="D185" s="8"/>
      <c r="G185" s="8"/>
      <c r="H185" s="8"/>
    </row>
  </sheetData>
  <pageMargins left="0.7" right="0.7" top="0.75" bottom="0.75" header="0.3" footer="0.3"/>
  <pageSetup orientation="portrait" r:id="rId1"/>
  <headerFooter>
    <oddFooter>&amp;L_x000D_&amp;1#&amp;"Aptos"&amp;8&amp;K000000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Truckload Bid Sheet</vt:lpstr>
    </vt:vector>
  </TitlesOfParts>
  <Manager/>
  <Company>Volkswagen Group of America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Patton, Mac</dc:creator>
  <cp:keywords/>
  <dc:description/>
  <cp:lastModifiedBy>Clinton Waters</cp:lastModifiedBy>
  <cp:revision/>
  <dcterms:created xsi:type="dcterms:W3CDTF">2026-03-19T13:23:45Z</dcterms:created>
  <dcterms:modified xsi:type="dcterms:W3CDTF">2026-03-31T20:02:25Z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cc62b5-3644-4e86-9729-856739a0d33d_Enabled">
    <vt:lpwstr>true</vt:lpwstr>
  </property>
  <property fmtid="{D5CDD505-2E9C-101B-9397-08002B2CF9AE}" pid="3" name="MSIP_Label_2dcc62b5-3644-4e86-9729-856739a0d33d_SetDate">
    <vt:lpwstr>2026-03-19T13:25:07Z</vt:lpwstr>
  </property>
  <property fmtid="{D5CDD505-2E9C-101B-9397-08002B2CF9AE}" pid="4" name="MSIP_Label_2dcc62b5-3644-4e86-9729-856739a0d33d_Method">
    <vt:lpwstr>Privileged</vt:lpwstr>
  </property>
  <property fmtid="{D5CDD505-2E9C-101B-9397-08002B2CF9AE}" pid="5" name="MSIP_Label_2dcc62b5-3644-4e86-9729-856739a0d33d_Name">
    <vt:lpwstr>Internal</vt:lpwstr>
  </property>
  <property fmtid="{D5CDD505-2E9C-101B-9397-08002B2CF9AE}" pid="6" name="MSIP_Label_2dcc62b5-3644-4e86-9729-856739a0d33d_SiteId">
    <vt:lpwstr>11590e71-96da-476f-972d-10da30c8e6b2</vt:lpwstr>
  </property>
  <property fmtid="{D5CDD505-2E9C-101B-9397-08002B2CF9AE}" pid="7" name="MSIP_Label_2dcc62b5-3644-4e86-9729-856739a0d33d_ActionId">
    <vt:lpwstr>e33f7911-ec4d-4a5e-9760-689775b162bb</vt:lpwstr>
  </property>
  <property fmtid="{D5CDD505-2E9C-101B-9397-08002B2CF9AE}" pid="8" name="MSIP_Label_2dcc62b5-3644-4e86-9729-856739a0d33d_ContentBits">
    <vt:lpwstr>2</vt:lpwstr>
  </property>
  <property fmtid="{D5CDD505-2E9C-101B-9397-08002B2CF9AE}" pid="9" name="MSIP_Label_2dcc62b5-3644-4e86-9729-856739a0d33d_Tag">
    <vt:lpwstr>10, 0, 1, 1</vt:lpwstr>
  </property>
</Properties>
</file>